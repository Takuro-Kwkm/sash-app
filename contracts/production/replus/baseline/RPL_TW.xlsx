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fe14010e27453d" /></Relationships>
</file>

<file path=xl/workbook.xml><?xml version="1.0" encoding="utf-8"?>
<x:workbook xmlns:x="http://schemas.openxmlformats.org/spreadsheetml/2006/main">
  <x:sheets>
    <x:sheet xmlns:r="http://schemas.openxmlformats.org/officeDocument/2006/relationships" name="90_Evidence" sheetId="1" r:id="Rac07150f58f348cf"/>
    <x:sheet xmlns:r="http://schemas.openxmlformats.org/officeDocument/2006/relationships" name="00_INDEX" sheetId="2" r:id="Rf63b12dd8e44411c"/>
    <x:sheet xmlns:r="http://schemas.openxmlformats.org/officeDocument/2006/relationships" name="00_README" sheetId="3" r:id="R58b7e5ec06b6490b"/>
    <x:sheet xmlns:r="http://schemas.openxmlformats.org/officeDocument/2006/relationships" name="01_入力フロー" sheetId="4" r:id="R2f8a45b38b8f46e6"/>
    <x:sheet xmlns:r="http://schemas.openxmlformats.org/officeDocument/2006/relationships" name="02_取替方式" sheetId="5" r:id="R2cc6442cbebe4e60"/>
    <x:sheet xmlns:r="http://schemas.openxmlformats.org/officeDocument/2006/relationships" name="02A_仕様区分" sheetId="6" r:id="Re9cd1ea39a0740cc"/>
    <x:sheet xmlns:r="http://schemas.openxmlformats.org/officeDocument/2006/relationships" name="03_窓種" sheetId="7" r:id="R9e37b3c838d34538"/>
    <x:sheet xmlns:r="http://schemas.openxmlformats.org/officeDocument/2006/relationships" name="03A_枠仕様" sheetId="8" r:id="R1c7ebb3968fd44e7"/>
    <x:sheet xmlns:r="http://schemas.openxmlformats.org/officeDocument/2006/relationships" name="03B_窓種枠設定" sheetId="9" r:id="R8dad125fb079457e"/>
    <x:sheet xmlns:r="http://schemas.openxmlformats.org/officeDocument/2006/relationships" name="04_窓種固有仕様" sheetId="10" r:id="R778d6b1905114f63"/>
    <x:sheet xmlns:r="http://schemas.openxmlformats.org/officeDocument/2006/relationships" name="05_サイズルール" sheetId="11" r:id="Rc7adedc598774628"/>
    <x:sheet xmlns:r="http://schemas.openxmlformats.org/officeDocument/2006/relationships" name="05A_サイズ区間" sheetId="12" r:id="Rf65897a061ab462c"/>
    <x:sheet xmlns:r="http://schemas.openxmlformats.org/officeDocument/2006/relationships" name="05B_境界ルール" sheetId="13" r:id="R5dba2755264f4409"/>
    <x:sheet xmlns:r="http://schemas.openxmlformats.org/officeDocument/2006/relationships" name="06_色" sheetId="14" r:id="R9361dc5740b247dd"/>
    <x:sheet xmlns:r="http://schemas.openxmlformats.org/officeDocument/2006/relationships" name="06A_色適用条件" sheetId="15" r:id="R302d9d895ea544aa"/>
    <x:sheet xmlns:r="http://schemas.openxmlformats.org/officeDocument/2006/relationships" name="07_網戸" sheetId="16" r:id="Rc6cabc6171f14965"/>
    <x:sheet xmlns:r="http://schemas.openxmlformats.org/officeDocument/2006/relationships" name="07A_網戸適用条件" sheetId="17" r:id="Rbc392b46a05e4f60"/>
    <x:sheet xmlns:r="http://schemas.openxmlformats.org/officeDocument/2006/relationships" name="08_ガラス" sheetId="18" r:id="Re2bc13b471ee457f"/>
    <x:sheet xmlns:r="http://schemas.openxmlformats.org/officeDocument/2006/relationships" name="08A_ガラス適用条件" sheetId="19" r:id="R2873978209d142b2"/>
    <x:sheet xmlns:r="http://schemas.openxmlformats.org/officeDocument/2006/relationships" name="09_その他OP" sheetId="20" r:id="Ra780156d91104aa6"/>
    <x:sheet xmlns:r="http://schemas.openxmlformats.org/officeDocument/2006/relationships" name="09A_OP依存関係" sheetId="21" r:id="R0b8cbf1c8dfa4b56"/>
    <x:sheet xmlns:r="http://schemas.openxmlformats.org/officeDocument/2006/relationships" name="10_適用条件" sheetId="22" r:id="Re46d59de40b04c3b"/>
    <x:sheet xmlns:r="http://schemas.openxmlformats.org/officeDocument/2006/relationships" name="10A_既設窓互換" sheetId="23" r:id="R6588484243f64800"/>
    <x:sheet xmlns:r="http://schemas.openxmlformats.org/officeDocument/2006/relationships" name="10B_現調項目" sheetId="24" r:id="R061867918c95455f"/>
    <x:sheet xmlns:r="http://schemas.openxmlformats.org/officeDocument/2006/relationships" name="99_QA" sheetId="25" r:id="R8538704b246144af"/>
    <x:sheet xmlns:r="http://schemas.openxmlformats.org/officeDocument/2006/relationships" name="04A_開口構成" sheetId="26" r:id="Rdbb1cd7b10964845"/>
    <x:sheet xmlns:r="http://schemas.openxmlformats.org/officeDocument/2006/relationships" name="11_見積入力テスト" sheetId="27" r:id="Rd369a940619448ff"/>
    <x:sheet xmlns:r="http://schemas.openxmlformats.org/officeDocument/2006/relationships" name="10C_化粧カバー見付" sheetId="28" r:id="Rcf55141d95cb4bf6"/>
    <x:sheet xmlns:r="http://schemas.openxmlformats.org/officeDocument/2006/relationships" name="12_共通参照" sheetId="29" r:id="R37befb22483a42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4"/>
      <x:color rgb="FFFFFFFF"/>
      <x:name val="Carlito"/>
    </x:font>
    <x:font>
      <x:i/>
      <x:sz val="9"/>
      <x:color rgb="FF1F2937"/>
      <x:name val="Carlito"/>
    </x:font>
    <x:font>
      <x:b/>
      <x:sz val="11"/>
      <x:color rgb="FFFFFFFF"/>
      <x:name val="Carlito"/>
    </x:font>
    <x:font>
      <x:sz val="9"/>
      <x:color rgb="FF1F2937"/>
      <x:name val="Carlito"/>
    </x:font>
    <x:font>
      <x:i/>
      <x:sz val="9"/>
      <x:name val="Carlito"/>
    </x:font>
    <x:font>
      <x:b/>
      <x:sz val="9"/>
      <x:color rgb="FFFFFFFF"/>
      <x:name val="Carlito"/>
    </x:font>
    <x:font>
      <x:b/>
      <x:sz val="9"/>
      <x:color rgb="FF1F2937"/>
      <x:name val="Carlito"/>
    </x:font>
  </x:fonts>
  <x:fills count="21">
    <x:fill>
      <x:patternFill patternType="none"/>
    </x:fill>
    <x:fill>
      <x:patternFill patternType="gray125"/>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FEF3C7"/>
      </x:patternFill>
    </x:fill>
    <x:fill>
      <x:patternFill patternType="solid">
        <x:fgColor rgb="FFE5E7EB"/>
      </x:patternFill>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DBEAFE"/>
      </x:patternFill>
    </x:fill>
    <x:fill>
      <x:patternFill patternType="solid">
        <x:fgColor rgb="FFE5E7EB"/>
      </x:patternFill>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E5E7EB"/>
      </x:patternFill>
    </x:fill>
  </x:fills>
  <x:borders count="38">
    <x:border/>
    <x:border/>
    <x:border/>
    <x:border/>
    <x:border/>
    <x:border/>
    <x:border/>
    <x:border/>
    <x:border/>
    <x:border/>
    <x:border/>
    <x:border/>
    <x:border/>
    <x:border/>
    <x:border/>
    <x:border/>
    <x:border/>
    <x:border/>
    <x:border/>
    <x:border/>
    <x:border/>
    <x:border/>
    <x:border/>
    <x:border/>
    <x:border/>
    <x:border/>
    <x:border/>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2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3" fillId="4" borderId="13" xfId="0" applyNumberFormat="1" applyFont="1" applyFill="1" applyBorder="1" applyAlignment="1">
      <x:alignment horizontal="center" vertical="center"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8"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3" fillId="4" borderId="2" xfId="0" applyNumberFormat="1" applyFont="1" applyFill="1" applyBorder="1"/>
    <x:xf numFmtId="0" fontId="3" fillId="4" borderId="3" xfId="0" applyNumberFormat="1" applyFont="1" applyFill="1" applyBorder="1"/>
    <x:xf numFmtId="0" fontId="0" fillId="0" borderId="3" xfId="0" applyNumberFormat="1" applyFont="1" applyFill="1" applyBorder="1"/>
    <x:xf numFmtId="0" fontId="3" fillId="4"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3" fillId="4" borderId="11" xfId="0" applyNumberFormat="1" applyFont="1" applyFill="1" applyBorder="1"/>
    <x:xf numFmtId="0" fontId="3" fillId="4" borderId="12" xfId="0" applyNumberFormat="1" applyFont="1" applyFill="1" applyBorder="1"/>
    <x:xf numFmtId="0" fontId="0" fillId="0" borderId="12" xfId="0" applyNumberFormat="1" applyFont="1" applyFill="1" applyBorder="1"/>
    <x:xf numFmtId="0" fontId="3" fillId="4"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0" borderId="3" xfId="0" applyNumberFormat="1" applyFont="1" applyFill="1" applyBorder="1" applyAlignment="1">
      <x:alignment wrapText="1"/>
    </x:xf>
    <x:xf numFmtId="0" fontId="3" fillId="4"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0" fillId="0" borderId="12" xfId="0" applyNumberFormat="1" applyFont="1" applyFill="1" applyBorder="1" applyAlignment="1">
      <x:alignment wrapText="1"/>
    </x:xf>
    <x:xf numFmtId="0" fontId="3" fillId="4"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9"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8" xfId="0" applyNumberFormat="1" applyFont="1" applyFill="1" applyBorder="1" applyAlignment="1">
      <x:alignment wrapText="1"/>
    </x:xf>
    <x:xf numFmtId="0" fontId="4" fillId="5" borderId="6"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15"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1" fillId="8" borderId="0" xfId="0" applyNumberFormat="1" applyFont="1" applyFill="1" applyBorder="1" applyAlignment="1">
      <x:alignment vertical="center"/>
    </x:xf>
    <x:xf numFmtId="0" fontId="0" fillId="8" borderId="0" xfId="0" applyNumberFormat="1" applyFont="1" applyFill="1" applyBorder="1"/>
    <x:xf numFmtId="0" fontId="1" fillId="8" borderId="0" xfId="0" applyNumberFormat="1" applyFont="1" applyFill="1" applyBorder="1"/>
    <x:xf numFmtId="0" fontId="2" fillId="9"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3" fillId="10" borderId="2"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4" fillId="0" borderId="2" xfId="0" applyNumberFormat="1" applyFont="1" applyFill="1" applyBorder="1" applyAlignment="1">
      <x:alignment vertical="top" wrapText="1"/>
    </x:xf>
    <x:xf numFmtId="0" fontId="3" fillId="10" borderId="20" xfId="0" applyNumberFormat="1" applyFont="1" applyFill="1" applyBorder="1" applyAlignment="1">
      <x:alignment horizontal="center" vertical="center" wrapText="1"/>
    </x:xf>
    <x:xf numFmtId="0" fontId="3" fillId="10" borderId="21" xfId="0" applyNumberFormat="1" applyFont="1" applyFill="1" applyBorder="1" applyAlignment="1">
      <x:alignment horizontal="center" vertical="center" wrapText="1"/>
    </x:xf>
    <x:xf numFmtId="0" fontId="3" fillId="10" borderId="22" xfId="0" applyNumberFormat="1" applyFont="1" applyFill="1" applyBorder="1" applyAlignment="1">
      <x:alignment horizontal="center" vertical="center" wrapText="1"/>
    </x:xf>
    <x:xf numFmtId="0" fontId="4" fillId="0" borderId="23" xfId="0" applyNumberFormat="1" applyFont="1" applyFill="1" applyBorder="1" applyAlignment="1">
      <x:alignment vertical="top" wrapText="1"/>
    </x:xf>
    <x:xf numFmtId="0" fontId="4" fillId="0" borderId="24" xfId="0" applyNumberFormat="1" applyFont="1" applyFill="1" applyBorder="1" applyAlignment="1">
      <x:alignment vertical="top" wrapText="1"/>
    </x:xf>
    <x:xf numFmtId="0" fontId="4" fillId="0" borderId="25" xfId="0" applyNumberFormat="1" applyFont="1" applyFill="1" applyBorder="1" applyAlignment="1">
      <x:alignment vertical="top" wrapText="1"/>
    </x:xf>
    <x:xf numFmtId="0" fontId="4" fillId="0" borderId="26" xfId="0" applyNumberFormat="1" applyFont="1" applyFill="1" applyBorder="1" applyAlignment="1">
      <x:alignment vertical="top" wrapText="1"/>
    </x:xf>
    <x:xf numFmtId="0" fontId="4" fillId="0" borderId="27" xfId="0" applyNumberFormat="1" applyFont="1" applyFill="1" applyBorder="1" applyAlignment="1">
      <x:alignment vertical="top" wrapText="1"/>
    </x:xf>
    <x:xf numFmtId="0" fontId="4" fillId="0" borderId="28"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0" borderId="2" xfId="0" applyNumberFormat="1" applyFont="1" applyFill="1" applyBorder="1" applyAlignment="1">
      <x:alignment vertical="top" wrapText="1"/>
    </x:xf>
    <x:xf numFmtId="0" fontId="6" fillId="10" borderId="2" xfId="0" applyNumberFormat="1" applyFont="1" applyFill="1" applyBorder="1" applyAlignment="1">
      <x:alignment vertical="top" wrapText="1"/>
    </x:xf>
    <x:xf numFmtId="0" fontId="6" fillId="10" borderId="2" xfId="0" applyNumberFormat="1" applyFont="1" applyFill="1" applyBorder="1" applyAlignment="1">
      <x:alignment horizontal="center" vertical="top" wrapText="1"/>
    </x:xf>
    <x:xf numFmtId="0" fontId="6" fillId="10" borderId="2" xfId="0" applyNumberFormat="1" applyFont="1" applyFill="1" applyBorder="1" applyAlignment="1">
      <x:alignment horizontal="center" vertical="center" wrapText="1"/>
    </x:xf>
    <x:xf numFmtId="0" fontId="4"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6" fillId="10" borderId="0" xfId="0" applyNumberFormat="1" applyFont="1" applyFill="1" applyBorder="1" applyAlignment="1">
      <x:alignment horizontal="center" vertical="top" wrapText="1"/>
    </x:xf>
    <x:xf numFmtId="0" fontId="6" fillId="10" borderId="0" xfId="0" applyNumberFormat="1" applyFont="1" applyFill="1" applyBorder="1" applyAlignment="1">
      <x:alignment horizontal="center" vertical="center" wrapText="1"/>
    </x:xf>
    <x:xf numFmtId="0" fontId="4"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6" fillId="10" borderId="20" xfId="0" applyNumberFormat="1" applyFont="1" applyFill="1" applyBorder="1" applyAlignment="1">
      <x:alignment horizontal="center" vertical="center" wrapText="1"/>
    </x:xf>
    <x:xf numFmtId="0" fontId="6" fillId="10" borderId="21" xfId="0" applyNumberFormat="1" applyFont="1" applyFill="1" applyBorder="1" applyAlignment="1">
      <x:alignment horizontal="center" vertical="center" wrapText="1"/>
    </x:xf>
    <x:xf numFmtId="0" fontId="6" fillId="10" borderId="22" xfId="0" applyNumberFormat="1" applyFont="1" applyFill="1" applyBorder="1" applyAlignment="1">
      <x:alignment horizontal="center" vertical="center" wrapText="1"/>
    </x:xf>
    <x:xf numFmtId="0" fontId="4" fillId="5" borderId="24" xfId="0" applyNumberFormat="1" applyFont="1" applyFill="1" applyBorder="1" applyAlignment="1">
      <x:alignment vertical="top" wrapText="1"/>
    </x:xf>
    <x:xf numFmtId="0" fontId="4" fillId="6" borderId="24" xfId="0" applyNumberFormat="1" applyFont="1" applyFill="1" applyBorder="1" applyAlignment="1">
      <x:alignment vertical="top" wrapText="1"/>
    </x:xf>
    <x:xf numFmtId="0" fontId="4" fillId="7" borderId="27" xfId="0" applyNumberFormat="1" applyFont="1" applyFill="1" applyBorder="1" applyAlignment="1">
      <x:alignment vertical="top" wrapText="1"/>
    </x:xf>
    <x:xf numFmtId="0" fontId="4" fillId="11" borderId="24" xfId="0" applyNumberFormat="1" applyFont="1" applyFill="1" applyBorder="1" applyAlignment="1">
      <x:alignment vertical="top" wrapText="1"/>
    </x:xf>
    <x:xf numFmtId="0" fontId="4" fillId="12" borderId="24" xfId="0" applyNumberFormat="1" applyFont="1" applyFill="1" applyBorder="1" applyAlignment="1">
      <x:alignment vertical="top" wrapText="1"/>
    </x:xf>
    <x:xf numFmtId="0" fontId="4" fillId="13" borderId="27"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0" xfId="0" applyNumberFormat="1" applyFont="1" applyFill="1" applyBorder="1" applyAlignment="1">
      <x:alignment horizontal="center" vertical="top" wrapText="1"/>
    </x:xf>
    <x:xf numFmtId="0" fontId="6" fillId="4" borderId="0" xfId="0" applyNumberFormat="1" applyFont="1" applyFill="1" applyBorder="1" applyAlignment="1">
      <x:alignment horizontal="center" vertical="center" wrapText="1"/>
    </x:xf>
    <x:xf numFmtId="0" fontId="4" fillId="12" borderId="0" xfId="0" applyNumberFormat="1" applyFont="1" applyFill="1" applyBorder="1" applyAlignment="1">
      <x:alignment vertical="top" wrapText="1"/>
    </x:xf>
    <x:xf numFmtId="0" fontId="1" fillId="14" borderId="0" xfId="0" applyNumberFormat="1" applyFont="1" applyFill="1" applyBorder="1" applyAlignment="1">
      <x:alignment vertical="center"/>
    </x:xf>
    <x:xf numFmtId="0" fontId="2" fillId="15" borderId="0" xfId="0" applyNumberFormat="1" applyFont="1" applyFill="1" applyBorder="1" applyAlignment="1">
      <x:alignment vertical="center" wrapText="1"/>
    </x:xf>
    <x:xf numFmtId="0" fontId="3" fillId="16" borderId="0" xfId="0" applyNumberFormat="1" applyFont="1" applyFill="1" applyBorder="1" applyAlignment="1">
      <x:alignment horizontal="center" vertical="center" wrapText="1"/>
    </x:xf>
    <x:xf numFmtId="0" fontId="3" fillId="16" borderId="29" xfId="0" applyNumberFormat="1" applyFont="1" applyFill="1" applyBorder="1" applyAlignment="1">
      <x:alignment horizontal="center" vertical="center" wrapText="1"/>
    </x:xf>
    <x:xf numFmtId="0" fontId="3" fillId="16" borderId="30" xfId="0" applyNumberFormat="1" applyFont="1" applyFill="1" applyBorder="1" applyAlignment="1">
      <x:alignment horizontal="center" vertical="center" wrapText="1"/>
    </x:xf>
    <x:xf numFmtId="0" fontId="3" fillId="16" borderId="31" xfId="0" applyNumberFormat="1" applyFont="1" applyFill="1" applyBorder="1" applyAlignment="1">
      <x:alignment horizontal="center" vertical="center" wrapText="1"/>
    </x:xf>
    <x:xf numFmtId="0" fontId="4" fillId="0" borderId="32" xfId="0" applyNumberFormat="1" applyFont="1" applyFill="1" applyBorder="1" applyAlignment="1">
      <x:alignment vertical="top" wrapText="1"/>
    </x:xf>
    <x:xf numFmtId="0" fontId="4" fillId="0" borderId="33" xfId="0" applyNumberFormat="1" applyFont="1" applyFill="1" applyBorder="1" applyAlignment="1">
      <x:alignment vertical="top" wrapText="1"/>
    </x:xf>
    <x:xf numFmtId="0" fontId="4" fillId="0" borderId="34" xfId="0" applyNumberFormat="1" applyFont="1" applyFill="1" applyBorder="1" applyAlignment="1">
      <x:alignment vertical="top" wrapText="1"/>
    </x:xf>
    <x:xf numFmtId="0" fontId="4" fillId="0" borderId="35" xfId="0" applyNumberFormat="1" applyFont="1" applyFill="1" applyBorder="1" applyAlignment="1">
      <x:alignment vertical="top" wrapText="1"/>
    </x:xf>
    <x:xf numFmtId="0" fontId="4" fillId="0" borderId="36" xfId="0" applyNumberFormat="1" applyFont="1" applyFill="1" applyBorder="1" applyAlignment="1">
      <x:alignment vertical="top" wrapText="1"/>
    </x:xf>
    <x:xf numFmtId="0" fontId="4" fillId="0" borderId="37" xfId="0" applyNumberFormat="1" applyFont="1" applyFill="1" applyBorder="1" applyAlignment="1">
      <x:alignment vertical="top"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7" fillId="4" borderId="0" xfId="0" applyNumberFormat="1" applyFont="1" applyFill="1" applyBorder="1" applyAlignment="1">
      <x:alignment horizontal="center" vertical="top" wrapText="1"/>
    </x:xf>
    <x:xf numFmtId="0" fontId="7" fillId="4" borderId="32" xfId="0" applyNumberFormat="1" applyFont="1" applyFill="1" applyBorder="1" applyAlignment="1">
      <x:alignment horizontal="center" vertical="top" wrapText="1"/>
    </x:xf>
    <x:xf numFmtId="0" fontId="7" fillId="4" borderId="34" xfId="0" applyNumberFormat="1" applyFont="1" applyFill="1" applyBorder="1" applyAlignment="1">
      <x:alignment horizontal="center" vertical="top" wrapText="1"/>
    </x:xf>
    <x:xf numFmtId="0" fontId="0" fillId="14" borderId="0" xfId="0" applyNumberFormat="1" applyFont="1" applyFill="1" applyBorder="1"/>
    <x:xf numFmtId="0" fontId="1" fillId="14" borderId="0" xfId="0" applyNumberFormat="1" applyFont="1" applyFill="1" applyBorder="1"/>
    <x:xf numFmtId="0" fontId="4" fillId="0" borderId="3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4" borderId="3"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7" fillId="4" borderId="0"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7" fillId="4"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7" fillId="4" borderId="35" xfId="0" applyNumberFormat="1" applyFont="1" applyFill="1" applyBorder="1" applyAlignment="1">
      <x:alignment horizontal="center" vertical="top" wrapText="1"/>
    </x:xf>
    <x:xf numFmtId="0" fontId="7" fillId="4" borderId="36" xfId="0" applyNumberFormat="1" applyFont="1" applyFill="1" applyBorder="1" applyAlignment="1">
      <x:alignment horizontal="center" vertical="top" wrapText="1"/>
    </x:xf>
    <x:xf numFmtId="0" fontId="7" fillId="4" borderId="36"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7" fillId="4" borderId="33" xfId="0" applyNumberFormat="1" applyFont="1" applyFill="1" applyBorder="1" applyAlignment="1">
      <x:alignment horizontal="center" vertical="top" wrapText="1"/>
    </x:xf>
    <x:xf numFmtId="200" fontId="4" fillId="0" borderId="33" xfId="0" applyNumberFormat="1" applyFont="1" applyFill="1" applyBorder="1" applyAlignment="1">
      <x:alignment vertical="top" wrapText="1"/>
    </x:xf>
    <x:xf numFmtId="200" fontId="4" fillId="0" borderId="36" xfId="0" applyNumberFormat="1" applyFont="1" applyFill="1" applyBorder="1" applyAlignment="1">
      <x:alignment vertical="top"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7" fillId="4" borderId="20" xfId="0" applyNumberFormat="1" applyFont="1" applyFill="1" applyBorder="1" applyAlignment="1">
      <x:alignment horizontal="center" vertical="center" wrapText="1"/>
    </x:xf>
    <x:xf numFmtId="0" fontId="4" fillId="0" borderId="20" xfId="0" applyNumberFormat="1" applyFont="1" applyFill="1" applyBorder="1" applyAlignment="1">
      <x:alignment vertical="top" wrapText="1"/>
    </x:xf>
    <x:xf numFmtId="0" fontId="7" fillId="4" borderId="20" xfId="0" applyNumberFormat="1" applyFont="1" applyFill="1" applyBorder="1" applyAlignment="1">
      <x:alignment horizontal="center" vertical="top" wrapText="1"/>
    </x:xf>
    <x:xf numFmtId="0" fontId="3" fillId="16" borderId="20" xfId="0" applyNumberFormat="1" applyFont="1" applyFill="1" applyBorder="1" applyAlignment="1">
      <x:alignment horizontal="center" vertical="center" wrapText="1"/>
    </x:xf>
    <x:xf numFmtId="0" fontId="4" fillId="0" borderId="2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6" borderId="0"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0" fontId="6" fillId="16" borderId="0" xfId="0" applyNumberFormat="1" applyFont="1" applyFill="1" applyBorder="1" applyAlignment="1">
      <x:alignment horizontal="center" vertical="top" wrapText="1"/>
    </x:xf>
    <x:xf numFmtId="0" fontId="6" fillId="16" borderId="0" xfId="0" applyNumberFormat="1" applyFont="1" applyFill="1" applyBorder="1" applyAlignment="1">
      <x:alignment horizontal="center" vertical="center" wrapText="1"/>
    </x:xf>
    <x:xf numFmtId="0" fontId="6" fillId="16" borderId="29" xfId="0" applyNumberFormat="1" applyFont="1" applyFill="1" applyBorder="1" applyAlignment="1">
      <x:alignment horizontal="center" vertical="center" wrapText="1"/>
    </x:xf>
    <x:xf numFmtId="0" fontId="6" fillId="16" borderId="30" xfId="0" applyNumberFormat="1" applyFont="1" applyFill="1" applyBorder="1" applyAlignment="1">
      <x:alignment horizontal="center" vertical="center" wrapText="1"/>
    </x:xf>
    <x:xf numFmtId="0" fontId="7" fillId="4" borderId="37" xfId="0" applyNumberFormat="1" applyFont="1" applyFill="1" applyBorder="1" applyAlignment="1">
      <x:alignment horizontal="center" vertical="top" wrapText="1"/>
    </x:xf>
    <x:xf numFmtId="0" fontId="6" fillId="16" borderId="20" xfId="0" applyNumberFormat="1" applyFont="1" applyFill="1" applyBorder="1" applyAlignment="1">
      <x:alignment horizontal="center" vertical="center" wrapText="1"/>
    </x:xf>
    <x:xf numFmtId="0" fontId="4" fillId="5" borderId="20" xfId="0" applyNumberFormat="1" applyFont="1" applyFill="1" applyBorder="1" applyAlignment="1">
      <x:alignment vertical="top" wrapText="1"/>
    </x:xf>
    <x:xf numFmtId="0" fontId="4" fillId="12" borderId="20" xfId="0" applyNumberFormat="1" applyFont="1" applyFill="1" applyBorder="1" applyAlignment="1">
      <x:alignment vertical="top" wrapText="1"/>
    </x:xf>
    <x:xf numFmtId="0" fontId="4" fillId="7" borderId="20" xfId="0" applyNumberFormat="1" applyFont="1" applyFill="1" applyBorder="1" applyAlignment="1">
      <x:alignment vertical="top" wrapText="1"/>
    </x:xf>
    <x:xf numFmtId="0" fontId="6" fillId="16" borderId="31" xfId="0" applyNumberFormat="1" applyFont="1" applyFill="1" applyBorder="1" applyAlignment="1">
      <x:alignment horizontal="center" vertical="center" wrapText="1"/>
    </x:xf>
    <x:xf numFmtId="0" fontId="4" fillId="5" borderId="33" xfId="0" applyNumberFormat="1" applyFont="1" applyFill="1" applyBorder="1" applyAlignment="1">
      <x:alignment vertical="top" wrapText="1"/>
    </x:xf>
    <x:xf numFmtId="0" fontId="4" fillId="12" borderId="33" xfId="0" applyNumberFormat="1" applyFont="1" applyFill="1" applyBorder="1" applyAlignment="1">
      <x:alignment vertical="top" wrapText="1"/>
    </x:xf>
    <x:xf numFmtId="0" fontId="4" fillId="7" borderId="36" xfId="0" applyNumberFormat="1" applyFont="1" applyFill="1" applyBorder="1" applyAlignment="1">
      <x:alignment vertical="top" wrapText="1"/>
    </x:xf>
    <x:xf numFmtId="0" fontId="4" fillId="17" borderId="33" xfId="0" applyNumberFormat="1" applyFont="1" applyFill="1" applyBorder="1" applyAlignment="1">
      <x:alignment vertical="top" wrapText="1"/>
    </x:xf>
    <x:xf numFmtId="0" fontId="4" fillId="18" borderId="33" xfId="0" applyNumberFormat="1" applyFont="1" applyFill="1" applyBorder="1" applyAlignment="1">
      <x:alignment vertical="top" wrapText="1"/>
    </x:xf>
    <x:xf numFmtId="0" fontId="4" fillId="19" borderId="33" xfId="0" applyNumberFormat="1" applyFont="1" applyFill="1" applyBorder="1" applyAlignment="1">
      <x:alignment vertical="top" wrapText="1"/>
    </x:xf>
    <x:xf numFmtId="0" fontId="4" fillId="20" borderId="36" xfId="0" applyNumberFormat="1" applyFont="1" applyFill="1" applyBorder="1" applyAlignment="1">
      <x:alignment vertical="top" wrapText="1"/>
    </x:xf>
    <x:xf numFmtId="0" fontId="5" fillId="15" borderId="0" xfId="0" applyNumberFormat="1" applyFont="1" applyFill="1" applyBorder="1" applyAlignment="1">
      <x:alignment wrapText="1"/>
    </x:xf>
    <x:xf numFmtId="0" fontId="5" fillId="15" borderId="0" xfId="0" applyNumberFormat="1" applyFont="1" applyFill="1" applyBorder="1"/>
    <x:xf numFmtId="0" fontId="0" fillId="16" borderId="0" xfId="0" applyNumberFormat="1" applyFont="1" applyFill="1" applyBorder="1" applyAlignment="1">
      <x:alignment wrapText="1"/>
    </x:xf>
  </x:cellXfs>
  <x:cellStyles count="1">
    <x:cellStyle name="Normal" xfId="0"/>
  </x:cellStyles>
  <x:dxfs count="4">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d53c34b10943c1" /><Relationship Type="http://schemas.openxmlformats.org/officeDocument/2006/relationships/theme" Target="/xl/theme/theme1.xml" Id="R0b6e292b07e34867" /><Relationship Type="http://schemas.microsoft.com/office/2022/11/relationships/FeaturePropertyBag" Target="/xl/featurePropertyBag/featurePropertyBag.xml" Id="R22cbc3d9ea8744e2" /><Relationship Type="http://schemas.openxmlformats.org/officeDocument/2006/relationships/sharedStrings" Target="/xl/sharedStrings.xml" Id="R584de5a43e634d6c" /><Relationship Type="http://schemas.openxmlformats.org/officeDocument/2006/relationships/worksheet" Target="/xl/worksheets/sheet1.xml" Id="Rac07150f58f348cf" /><Relationship Type="http://schemas.openxmlformats.org/officeDocument/2006/relationships/worksheet" Target="/xl/worksheets/sheet2.xml" Id="Rf63b12dd8e44411c" /><Relationship Type="http://schemas.openxmlformats.org/officeDocument/2006/relationships/worksheet" Target="/xl/worksheets/sheet3.xml" Id="R58b7e5ec06b6490b" /><Relationship Type="http://schemas.openxmlformats.org/officeDocument/2006/relationships/worksheet" Target="/xl/worksheets/sheet4.xml" Id="R2f8a45b38b8f46e6" /><Relationship Type="http://schemas.openxmlformats.org/officeDocument/2006/relationships/worksheet" Target="/xl/worksheets/sheet5.xml" Id="R2cc6442cbebe4e60" /><Relationship Type="http://schemas.openxmlformats.org/officeDocument/2006/relationships/worksheet" Target="/xl/worksheets/sheet6.xml" Id="Re9cd1ea39a0740cc" /><Relationship Type="http://schemas.openxmlformats.org/officeDocument/2006/relationships/worksheet" Target="/xl/worksheets/sheet7.xml" Id="R9e37b3c838d34538" /><Relationship Type="http://schemas.openxmlformats.org/officeDocument/2006/relationships/worksheet" Target="/xl/worksheets/sheet8.xml" Id="R1c7ebb3968fd44e7" /><Relationship Type="http://schemas.openxmlformats.org/officeDocument/2006/relationships/worksheet" Target="/xl/worksheets/sheet9.xml" Id="R8dad125fb079457e" /><Relationship Type="http://schemas.openxmlformats.org/officeDocument/2006/relationships/worksheet" Target="/xl/worksheets/sheet10.xml" Id="R778d6b1905114f63" /><Relationship Type="http://schemas.openxmlformats.org/officeDocument/2006/relationships/worksheet" Target="/xl/worksheets/sheet11.xml" Id="Rc7adedc598774628" /><Relationship Type="http://schemas.openxmlformats.org/officeDocument/2006/relationships/worksheet" Target="/xl/worksheets/sheet12.xml" Id="Rf65897a061ab462c" /><Relationship Type="http://schemas.openxmlformats.org/officeDocument/2006/relationships/worksheet" Target="/xl/worksheets/sheet13.xml" Id="R5dba2755264f4409" /><Relationship Type="http://schemas.openxmlformats.org/officeDocument/2006/relationships/worksheet" Target="/xl/worksheets/sheet14.xml" Id="R9361dc5740b247dd" /><Relationship Type="http://schemas.openxmlformats.org/officeDocument/2006/relationships/worksheet" Target="/xl/worksheets/sheet15.xml" Id="R302d9d895ea544aa" /><Relationship Type="http://schemas.openxmlformats.org/officeDocument/2006/relationships/worksheet" Target="/xl/worksheets/sheet16.xml" Id="Rc6cabc6171f14965" /><Relationship Type="http://schemas.openxmlformats.org/officeDocument/2006/relationships/worksheet" Target="/xl/worksheets/sheet17.xml" Id="Rbc392b46a05e4f60" /><Relationship Type="http://schemas.openxmlformats.org/officeDocument/2006/relationships/worksheet" Target="/xl/worksheets/sheet18.xml" Id="Re2bc13b471ee457f" /><Relationship Type="http://schemas.openxmlformats.org/officeDocument/2006/relationships/worksheet" Target="/xl/worksheets/sheet19.xml" Id="R2873978209d142b2" /><Relationship Type="http://schemas.openxmlformats.org/officeDocument/2006/relationships/worksheet" Target="/xl/worksheets/sheet20.xml" Id="Ra780156d91104aa6" /><Relationship Type="http://schemas.openxmlformats.org/officeDocument/2006/relationships/worksheet" Target="/xl/worksheets/sheet21.xml" Id="R0b8cbf1c8dfa4b56" /><Relationship Type="http://schemas.openxmlformats.org/officeDocument/2006/relationships/worksheet" Target="/xl/worksheets/sheet22.xml" Id="Re46d59de40b04c3b" /><Relationship Type="http://schemas.openxmlformats.org/officeDocument/2006/relationships/worksheet" Target="/xl/worksheets/sheet23.xml" Id="R6588484243f64800" /><Relationship Type="http://schemas.openxmlformats.org/officeDocument/2006/relationships/worksheet" Target="/xl/worksheets/sheet24.xml" Id="R061867918c95455f" /><Relationship Type="http://schemas.openxmlformats.org/officeDocument/2006/relationships/worksheet" Target="/xl/worksheets/sheet25.xml" Id="R8538704b246144af" /><Relationship Type="http://schemas.openxmlformats.org/officeDocument/2006/relationships/worksheet" Target="/xl/worksheets/sheet26.xml" Id="Rdbb1cd7b10964845" /><Relationship Type="http://schemas.openxmlformats.org/officeDocument/2006/relationships/worksheet" Target="/xl/worksheets/sheet27.xml" Id="Rd369a940619448ff" /><Relationship Type="http://schemas.openxmlformats.org/officeDocument/2006/relationships/worksheet" Target="/xl/worksheets/sheet28.xml" Id="Rcf55141d95cb4bf6" /><Relationship Type="http://schemas.openxmlformats.org/officeDocument/2006/relationships/worksheet" Target="/xl/worksheets/sheet29.xml" Id="R37befb22483a42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0" hidden="0" customWidth="1"/>
    <x:col min="3" max="3" width="44" hidden="0" customWidth="1"/>
    <x:col min="4" max="4" width="18" hidden="0" customWidth="1"/>
    <x:col min="5" max="5" width="30" hidden="0" customWidth="1"/>
    <x:col min="6" max="6" width="62" hidden="0" customWidth="1"/>
    <x:col min="7" max="7" width="14" hidden="0" customWidth="1"/>
    <x:col min="8" max="8" width="16" hidden="0" customWidth="1"/>
    <x:col min="9" max="9" width="88" hidden="0" customWidth="1"/>
  </x:cols>
  <x:sheetData>
    <x:row r="1" ht="28" customHeight="1">
      <x:c r="A1" s="178" t="str">
        <x:v>90_Evidence｜TWタイプ 根拠管理</x:v>
      </x:c>
      <x:c r="B1" s="178"/>
      <x:c r="C1" s="178"/>
      <x:c r="D1" s="178"/>
      <x:c r="E1" s="178"/>
      <x:c r="F1" s="178"/>
      <x:c r="G1" s="178"/>
      <x:c r="H1" s="178"/>
      <x:c r="I1" s="178"/>
    </x:row>
    <x:row r="2" ht="36" customHeight="1">
      <x:c r="A2" s="179" t="str">
        <x:v>確定値はTW-EVを保持。資料間差異もEvidenceとして記録し、推測で統合しない。</x:v>
      </x:c>
      <x:c r="B2" s="179"/>
      <x:c r="C2" s="179"/>
      <x:c r="D2" s="179"/>
      <x:c r="E2" s="179"/>
      <x:c r="F2" s="179"/>
      <x:c r="G2" s="179"/>
      <x:c r="H2" s="179"/>
      <x:c r="I2" s="179"/>
    </x:row>
    <x:row r="4" ht="30" customHeight="1">
      <x:c r="A4" s="181" t="str">
        <x:v>evidence_id</x:v>
      </x:c>
      <x:c r="B4" s="182" t="str">
        <x:v>情報源種別</x:v>
      </x:c>
      <x:c r="C4" s="182" t="str">
        <x:v>資料名</x:v>
      </x:c>
      <x:c r="D4" s="182" t="str">
        <x:v>発行年月</x:v>
      </x:c>
      <x:c r="E4" s="182" t="str">
        <x:v>ページ/箇所</x:v>
      </x:c>
      <x:c r="F4" s="182" t="str">
        <x:v>URL</x:v>
      </x:c>
      <x:c r="G4" s="182" t="str">
        <x:v>確認日</x:v>
      </x:c>
      <x:c r="H4" s="182" t="str">
        <x:v>確度</x:v>
      </x:c>
      <x:c r="I4" s="183" t="str">
        <x:v>根拠内容</x:v>
      </x:c>
    </x:row>
    <x:row r="5">
      <x:c r="A5" s="184" t="str">
        <x:v>TW-EV-001</x:v>
      </x:c>
      <x:c r="B5" s="185" t="str">
        <x:v>共通仕様</x:v>
      </x:c>
      <x:c r="C5" s="185" t="str">
        <x:v>サッシ商品マスター共通仕様書_v0.1</x:v>
      </x:c>
      <x:c r="D5" s="185" t="str">
        <x:v>2026-08-30更新</x:v>
      </x:c>
      <x:c r="E5" s="185" t="str">
        <x:v>§31-34ほか</x:v>
      </x:c>
      <x:c r="F5" s="185" t="str">
        <x:v>https://docs.google.com/document/d/1MfixkbV1cZ__DtBknEKsix_nnrXQqjc-LZtXUHwJv_A/edit</x:v>
      </x:c>
      <x:c r="G5" s="185" t="str">
        <x:v>2026-08-30</x:v>
      </x:c>
      <x:c r="H5" s="185" t="str">
        <x:v>HIGH</x:v>
      </x:c>
      <x:c r="I5" s="186" t="str">
        <x:v>条件判定、耐風圧特殊案件、OP依存、固有仕様の数値条件</x:v>
      </x:c>
    </x:row>
    <x:row r="6">
      <x:c r="A6" s="184" t="str">
        <x:v>TW-EV-002</x:v>
      </x:c>
      <x:c r="B6" s="185" t="str">
        <x:v>業務用資料集</x:v>
      </x:c>
      <x:c r="C6" s="185" t="str">
        <x:v>リプラス・リプラスマンション用 取替窓 業務用資料集</x:v>
      </x:c>
      <x:c r="D6" s="185" t="str">
        <x:v>2026-04</x:v>
      </x:c>
      <x:c r="E6" s="185" t="str">
        <x:v>目次/居室仕様TWタイプ完成品価格表</x:v>
      </x:c>
      <x:c r="F6" s="185" t="str">
        <x:v>https://drive.google.com/file/d/1D1HPMXhOMYd_Lu10XNzzJR2TH3aDHVUr/view</x:v>
      </x:c>
      <x:c r="G6" s="185" t="str">
        <x:v>2026-08-30</x:v>
      </x:c>
      <x:c r="H6" s="185" t="str">
        <x:v>HIGH</x:v>
      </x:c>
      <x:c r="I6" s="186" t="str">
        <x:v>TWタイプ=引違い窓、構成、価格表・部材構成</x:v>
      </x:c>
    </x:row>
    <x:row r="7">
      <x:c r="A7" s="184" t="str">
        <x:v>TW-EV-003</x:v>
      </x:c>
      <x:c r="B7" s="185" t="str">
        <x:v>商品カタログ</x:v>
      </x:c>
      <x:c r="C7" s="185" t="str">
        <x:v>LIXIL リプラス 商品カタログ SN1200</x:v>
      </x:c>
      <x:c r="D7" s="185" t="str">
        <x:v>2025-08</x:v>
      </x:c>
      <x:c r="E7" s="185" t="str">
        <x:v>p.27</x:v>
      </x:c>
      <x:c r="F7" s="185" t="str">
        <x:v>https://drive.google.com/file/d/1wH1nhmsftl6y8Mp7y6twtoXSi6rxqxzT/view</x:v>
      </x:c>
      <x:c r="G7" s="185" t="str">
        <x:v>2026-08-30</x:v>
      </x:c>
      <x:c r="H7" s="185" t="str">
        <x:v>HIGH</x:v>
      </x:c>
      <x:c r="I7" s="186" t="str">
        <x:v>TWタイプ商品体系・色・引違い窓</x:v>
      </x:c>
    </x:row>
    <x:row r="8">
      <x:c r="A8" s="184" t="str">
        <x:v>TW-EV-004</x:v>
      </x:c>
      <x:c r="B8" s="185" t="str">
        <x:v>公式Web</x:v>
      </x:c>
      <x:c r="C8" s="185" t="str">
        <x:v>LIXIL リプラス 居室仕様 TWタイプ</x:v>
      </x:c>
      <x:c r="D8" s="185" t="str">
        <x:v>現行</x:v>
      </x:c>
      <x:c r="E8" s="185" t="str">
        <x:v>品種/色/ガラス/網戸</x:v>
      </x:c>
      <x:c r="F8" s="185" t="str">
        <x:v>https://www.lixil.co.jp/lineup/window/replus/variation/tw-type/</x:v>
      </x:c>
      <x:c r="G8" s="185" t="str">
        <x:v>2026-08-30</x:v>
      </x:c>
      <x:c r="H8" s="185" t="str">
        <x:v>HIGH</x:v>
      </x:c>
      <x:c r="I8" s="186" t="str">
        <x:v>現行Webで引違い窓、色5×5、主要Low-E構成、ネット4種</x:v>
      </x:c>
    </x:row>
    <x:row r="9">
      <x:c r="A9" s="184" t="str">
        <x:v>TW-EV-005</x:v>
      </x:c>
      <x:c r="B9" s="185" t="str">
        <x:v>業務用資料集</x:v>
      </x:c>
      <x:c r="C9" s="185" t="str">
        <x:v>同上</x:v>
      </x:c>
      <x:c r="D9" s="185" t="str">
        <x:v>2026-04</x:v>
      </x:c>
      <x:c r="E9" s="185" t="str">
        <x:v>p.4-7相当</x:v>
      </x:c>
      <x:c r="F9" s="185" t="str">
        <x:v>https://drive.google.com/file/d/1D1HPMXhOMYd_Lu10XNzzJR2TH3aDHVUr/view</x:v>
      </x:c>
      <x:c r="G9" s="185" t="str">
        <x:v>2026-08-30</x:v>
      </x:c>
      <x:c r="H9" s="185" t="str">
        <x:v>HIGH</x:v>
      </x:c>
      <x:c r="I9" s="186" t="str">
        <x:v>TG/把手/大壁和室用、2/4枚建、採寸/出来寸、ガス、網戸</x:v>
      </x:c>
    </x:row>
    <x:row r="10">
      <x:c r="A10" s="184" t="str">
        <x:v>TW-EV-006</x:v>
      </x:c>
      <x:c r="B10" s="185" t="str">
        <x:v>業務用資料集</x:v>
      </x:c>
      <x:c r="C10" s="185" t="str">
        <x:v>同上</x:v>
      </x:c>
      <x:c r="D10" s="185" t="str">
        <x:v>2026-04</x:v>
      </x:c>
      <x:c r="E10" s="185" t="str">
        <x:v>TWタイプ部材構成図/網戸注記</x:v>
      </x:c>
      <x:c r="F10" s="185" t="str">
        <x:v>https://drive.google.com/file/d/1D1HPMXhOMYd_Lu10XNzzJR2TH3aDHVUr/view</x:v>
      </x:c>
      <x:c r="G10" s="185" t="str">
        <x:v>2026-08-30</x:v>
      </x:c>
      <x:c r="H10" s="185" t="str">
        <x:v>HIGH</x:v>
      </x:c>
      <x:c r="I10" s="186" t="str">
        <x:v>中桟付網戸 1648≤HD≤2405、内嵌め時既設上枠ベース材</x:v>
      </x:c>
    </x:row>
    <x:row r="11">
      <x:c r="A11" s="184" t="str">
        <x:v>TW-EV-007</x:v>
      </x:c>
      <x:c r="B11" s="185" t="str">
        <x:v>商品カタログ</x:v>
      </x:c>
      <x:c r="C11" s="185" t="str">
        <x:v>LIXIL リプラス 商品カタログ SN1200</x:v>
      </x:c>
      <x:c r="D11" s="185" t="str">
        <x:v>2025-08</x:v>
      </x:c>
      <x:c r="E11" s="185" t="str">
        <x:v>p.96</x:v>
      </x:c>
      <x:c r="F11" s="185" t="str">
        <x:v>https://drive.google.com/file/d/1wH1nhmsftl6y8Mp7y6twtoXSi6rxqxzT/view</x:v>
      </x:c>
      <x:c r="G11" s="185" t="str">
        <x:v>2026-08-30</x:v>
      </x:c>
      <x:c r="H11" s="185" t="str">
        <x:v>HIGH</x:v>
      </x:c>
      <x:c r="I11" s="186" t="str">
        <x:v>TWタイプ寸法特注範囲・境界式・耐風圧/ガラス制限注記</x:v>
      </x:c>
    </x:row>
    <x:row r="12">
      <x:c r="A12" s="184" t="str">
        <x:v>TW-EV-008</x:v>
      </x:c>
      <x:c r="B12" s="185" t="str">
        <x:v>商品カタログ</x:v>
      </x:c>
      <x:c r="C12" s="185" t="str">
        <x:v>同上</x:v>
      </x:c>
      <x:c r="D12" s="185" t="str">
        <x:v>2025-08</x:v>
      </x:c>
      <x:c r="E12" s="185" t="str">
        <x:v>p.56</x:v>
      </x:c>
      <x:c r="F12" s="185" t="str">
        <x:v>https://drive.google.com/file/d/1wH1nhmsftl6y8Mp7y6twtoXSi6rxqxzT/view</x:v>
      </x:c>
      <x:c r="G12" s="185" t="str">
        <x:v>2026-08-30</x:v>
      </x:c>
      <x:c r="H12" s="185" t="str">
        <x:v>HIGH</x:v>
      </x:c>
      <x:c r="I12" s="186" t="str">
        <x:v>専用Low-Eトリプル、Low-E構成、アルゴン/クリプトン、樹脂スペーサー、追加機能</x:v>
      </x:c>
    </x:row>
    <x:row r="13">
      <x:c r="A13" s="184" t="str">
        <x:v>TW-EV-009</x:v>
      </x:c>
      <x:c r="B13" s="185" t="str">
        <x:v>商品カタログ</x:v>
      </x:c>
      <x:c r="C13" s="185" t="str">
        <x:v>同上</x:v>
      </x:c>
      <x:c r="D13" s="185" t="str">
        <x:v>2025-08</x:v>
      </x:c>
      <x:c r="E13" s="185" t="str">
        <x:v>p.124</x:v>
      </x:c>
      <x:c r="F13" s="185" t="str">
        <x:v>https://drive.google.com/file/d/1wH1nhmsftl6y8Mp7y6twtoXSi6rxqxzT/view</x:v>
      </x:c>
      <x:c r="G13" s="185" t="str">
        <x:v>2026-08-30</x:v>
      </x:c>
      <x:c r="H13" s="185" t="str">
        <x:v>HIGH</x:v>
      </x:c>
      <x:c r="I13" s="186" t="str">
        <x:v>有償品取付可否、TW非適用OP、共通既設窓可否</x:v>
      </x:c>
    </x:row>
    <x:row r="14">
      <x:c r="A14" s="184" t="str">
        <x:v>TW-EV-010</x:v>
      </x:c>
      <x:c r="B14" s="185" t="str">
        <x:v>業務用資料集</x:v>
      </x:c>
      <x:c r="C14" s="185" t="str">
        <x:v>同上</x:v>
      </x:c>
      <x:c r="D14" s="185" t="str">
        <x:v>2026-04</x:v>
      </x:c>
      <x:c r="E14" s="185" t="str">
        <x:v>TWタイプ有償品</x:v>
      </x:c>
      <x:c r="F14" s="185" t="str">
        <x:v>https://drive.google.com/file/d/1D1HPMXhOMYd_Lu10XNzzJR2TH3aDHVUr/view</x:v>
      </x:c>
      <x:c r="G14" s="185" t="str">
        <x:v>2026-08-30</x:v>
      </x:c>
      <x:c r="H14" s="185" t="str">
        <x:v>HIGH</x:v>
      </x:c>
      <x:c r="I14" s="186" t="str">
        <x:v>小開口ストッパー70/110、専用クレセント、4枚建不可、スマートクレセント併用不可</x:v>
      </x:c>
    </x:row>
    <x:row r="15">
      <x:c r="A15" s="184" t="str">
        <x:v>TW-EV-011</x:v>
      </x:c>
      <x:c r="B15" s="185" t="str">
        <x:v>商品カタログ</x:v>
      </x:c>
      <x:c r="C15" s="185" t="str">
        <x:v>LIXIL リプラス 商品カタログ SN1200</x:v>
      </x:c>
      <x:c r="D15" s="185" t="str">
        <x:v>2025-08</x:v>
      </x:c>
      <x:c r="E15" s="185" t="str">
        <x:v>p.227</x:v>
      </x:c>
      <x:c r="F15" s="185" t="str">
        <x:v>https://drive.google.com/file/d/1wH1nhmsftl6y8Mp7y6twtoXSi6rxqxzT/view</x:v>
      </x:c>
      <x:c r="G15" s="185" t="str">
        <x:v>2026-08-30</x:v>
      </x:c>
      <x:c r="H15" s="185" t="str">
        <x:v>HIGH</x:v>
      </x:c>
      <x:c r="I15" s="186" t="str">
        <x:v>TW専用現調/発注シート：採寸、見付、枠見込み、施工区分、色、網戸、OP</x:v>
      </x:c>
    </x:row>
    <x:row r="16">
      <x:c r="A16" s="184" t="str">
        <x:v>TW-EV-012</x:v>
      </x:c>
      <x:c r="B16" s="185" t="str">
        <x:v>商品カタログ</x:v>
      </x:c>
      <x:c r="C16" s="185" t="str">
        <x:v>同上</x:v>
      </x:c>
      <x:c r="D16" s="185" t="str">
        <x:v>2025-08</x:v>
      </x:c>
      <x:c r="E16" s="185" t="str">
        <x:v>ガラス面積/戸車耐荷重表</x:v>
      </x:c>
      <x:c r="F16" s="185" t="str">
        <x:v>https://drive.google.com/file/d/1wH1nhmsftl6y8Mp7y6twtoXSi6rxqxzT/view</x:v>
      </x:c>
      <x:c r="G16" s="185" t="str">
        <x:v>2026-08-30</x:v>
      </x:c>
      <x:c r="H16" s="185" t="str">
        <x:v>HIGH</x:v>
      </x:c>
      <x:c r="I16" s="186" t="str">
        <x:v>ガラス構成により製作不可となる特殊境界</x:v>
      </x:c>
    </x:row>
    <x:row r="17">
      <x:c r="A17" s="187" t="str">
        <x:v>TW-EV-013</x:v>
      </x:c>
      <x:c r="B17" s="188" t="str">
        <x:v>Evidence差異</x:v>
      </x:c>
      <x:c r="C17" s="188" t="str">
        <x:v>商品体系p.56・現行Web vs 現調/発注p.227</x:v>
      </x:c>
      <x:c r="D17" s="188" t="str">
        <x:v>2025-08/現行</x:v>
      </x:c>
      <x:c r="E17" s="188" t="str">
        <x:v>Low-E構成</x:v>
      </x:c>
      <x:c r="F17" s="188" t="str">
        <x:v>https://drive.google.com/file/d/1wH1nhmsftl6y8Mp7y6twtoXSi6rxqxzT/view</x:v>
      </x:c>
      <x:c r="G17" s="188" t="str">
        <x:v>2026-08-30</x:v>
      </x:c>
      <x:c r="H17" s="188" t="str">
        <x:v>REVIEW</x:v>
      </x:c>
      <x:c r="I17" s="189" t="str">
        <x:v>p.227にグリーン×クリア記載、一方p.56/現行WebのTW主要構成に未掲載。通常UIでは非表示とする。</x:v>
      </x:c>
    </x:row>
    <x:row r="18">
      <x:c r="A18" s="35"/>
      <x:c r="B18" s="36"/>
      <x:c r="C18" s="36"/>
      <x:c r="D18" s="36"/>
      <x:c r="E18" s="36"/>
      <x:c r="F18" s="36"/>
      <x:c r="G18" s="36"/>
      <x:c r="H18" s="36"/>
      <x:c r="I18" s="37"/>
    </x:row>
    <x:row r="19">
      <x:c r="A19" s="35"/>
      <x:c r="B19" s="36"/>
      <x:c r="C19" s="36"/>
      <x:c r="D19" s="36"/>
      <x:c r="E19" s="36"/>
      <x:c r="F19" s="36"/>
      <x:c r="G19" s="36"/>
      <x:c r="H19" s="36"/>
      <x:c r="I19" s="37"/>
    </x:row>
    <x:row r="20">
      <x:c r="A20" s="38"/>
      <x:c r="B20" s="39"/>
      <x:c r="C20" s="39"/>
      <x:c r="D20" s="39"/>
      <x:c r="E20" s="39"/>
      <x:c r="F20" s="39"/>
      <x:c r="G20" s="39"/>
      <x:c r="H20" s="39"/>
      <x:c r="I20" s="40"/>
    </x:row>
    <x:row r="21">
      <x:c r="A21" s="28"/>
      <x:c r="B21" s="28"/>
      <x:c r="C21" s="28"/>
      <x:c r="D21" s="28"/>
      <x:c r="E21" s="28"/>
      <x:c r="F21" s="28"/>
      <x:c r="G21" s="28"/>
      <x:c r="H21" s="28"/>
      <x:c r="I21" s="28"/>
    </x:row>
    <x:row r="22">
      <x:c r="A22" s="28"/>
      <x:c r="B22" s="28"/>
      <x:c r="C22" s="28"/>
      <x:c r="D22" s="28"/>
      <x:c r="E22" s="28"/>
      <x:c r="F22" s="28"/>
      <x:c r="G22" s="28"/>
      <x:c r="H22" s="28"/>
      <x:c r="I22" s="28"/>
    </x:row>
    <x:row r="23">
      <x:c r="A23" s="28"/>
      <x:c r="B23" s="28"/>
      <x:c r="C23" s="28"/>
      <x:c r="D23" s="28"/>
      <x:c r="E23" s="28"/>
      <x:c r="F23" s="28"/>
      <x:c r="G23" s="28"/>
      <x:c r="H23" s="28"/>
      <x:c r="I23" s="28"/>
    </x:row>
    <x:row r="24">
      <x:c r="A24" s="28"/>
      <x:c r="B24" s="28"/>
      <x:c r="C24" s="28"/>
      <x:c r="D24" s="28"/>
      <x:c r="E24" s="28"/>
      <x:c r="F24" s="28"/>
      <x:c r="G24" s="28"/>
      <x:c r="H24" s="28"/>
      <x:c r="I24" s="28"/>
    </x:row>
    <x:row r="25">
      <x:c r="A25" s="28"/>
      <x:c r="B25" s="28"/>
      <x:c r="C25" s="28"/>
      <x:c r="D25" s="28"/>
      <x:c r="E25" s="28"/>
      <x:c r="F25" s="28"/>
      <x:c r="G25" s="28"/>
      <x:c r="H25" s="28"/>
      <x:c r="I25" s="28"/>
    </x:row>
    <x:row r="26">
      <x:c r="A26" s="28"/>
      <x:c r="B26" s="28"/>
      <x:c r="C26" s="28"/>
      <x:c r="D26" s="28"/>
      <x:c r="E26" s="28"/>
      <x:c r="F26" s="28"/>
      <x:c r="G26" s="28"/>
      <x:c r="H26" s="28"/>
      <x:c r="I26" s="28"/>
    </x:row>
  </x:sheetData>
  <x:mergeCells>
    <x:mergeCell ref="A1:I1"/>
    <x:mergeCell ref="A2:I2"/>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8" hidden="0" customWidth="1"/>
    <x:col min="3" max="3" width="72" hidden="0" customWidth="1"/>
    <x:col min="4" max="4" width="26" hidden="0" customWidth="1"/>
  </x:cols>
  <x:sheetData>
    <x:row r="1" ht="28" customHeight="1">
      <x:c r="A1" s="178" t="str">
        <x:v>LIXIL リプラス 居室仕様 TWタイプ｜商品マスター v1.0 完成版 INDEX</x:v>
      </x:c>
      <x:c r="B1" s="178"/>
      <x:c r="C1" s="178"/>
      <x:c r="D1" s="178"/>
    </x:row>
    <x:row r="2" ht="36" customHeight="1">
      <x:c r="A2" s="179" t="str">
        <x:v>既存の居室仕様 v1.0 完成版を基準モデルに、TWタイプ固有差分だけを独立投入。共通の既設窓互換・構造条件は参照方式で再利用。</x:v>
      </x:c>
      <x:c r="B2" s="179"/>
      <x:c r="C2" s="179"/>
      <x:c r="D2" s="179"/>
    </x:row>
    <x:row r="4" ht="30" customHeight="1">
      <x:c r="A4" s="181" t="str">
        <x:v>項目</x:v>
      </x:c>
      <x:c r="B4" s="182" t="str">
        <x:v>状態</x:v>
      </x:c>
      <x:c r="C4" s="182" t="str">
        <x:v>内容</x:v>
      </x:c>
      <x:c r="D4" s="183" t="str">
        <x:v>Evidence</x:v>
      </x:c>
    </x:row>
    <x:row r="5">
      <x:c r="A5" s="184" t="str">
        <x:v>対象</x:v>
      </x:c>
      <x:c r="B5" s="185" t="str">
        <x:v>LIXIL リプラス</x:v>
      </x:c>
      <x:c r="C5" s="185" t="str">
        <x:v>居室仕様 TWタイプ（RPL_TW）</x:v>
      </x:c>
      <x:c r="D5" s="186" t="str">
        <x:v>v1.0 完成版</x:v>
      </x:c>
    </x:row>
    <x:row r="6">
      <x:c r="A6" s="184" t="str">
        <x:v>installation_system</x:v>
      </x:c>
      <x:c r="B6" s="185" t="str">
        <x:v>RPL_DIRECT</x:v>
      </x:c>
      <x:c r="C6" s="185" t="str">
        <x:v>リプラス専用取替枠</x:v>
      </x:c>
      <x:c r="D6" s="186" t="str">
        <x:v>既存構造継承</x:v>
      </x:c>
    </x:row>
    <x:row r="7">
      <x:c r="A7" s="184" t="str">
        <x:v>窓種</x:v>
      </x:c>
      <x:c r="B7" s="185" t="str">
        <x:v>COMPLETE</x:v>
      </x:c>
      <x:c r="C7" s="185" t="str">
        <x:v>引違い窓のみ</x:v>
      </x:c>
      <x:c r="D7" s="186" t="str">
        <x:v>TW-EV-002,003,004</x:v>
      </x:c>
    </x:row>
    <x:row r="8">
      <x:c r="A8" s="184" t="str">
        <x:v>建数/高さ区分</x:v>
      </x:c>
      <x:c r="B8" s="185" t="str">
        <x:v>COMPLETE</x:v>
      </x:c>
      <x:c r="C8" s="185" t="str">
        <x:v>2枚建/4枚建、マド/テラス</x:v>
      </x:c>
      <x:c r="D8" s="186" t="str">
        <x:v>TW-EV-005,006</x:v>
      </x:c>
    </x:row>
    <x:row r="9">
      <x:c r="A9" s="184" t="str">
        <x:v>障子体系</x:v>
      </x:c>
      <x:c r="B9" s="185" t="str">
        <x:v>COMPLETE</x:v>
      </x:c>
      <x:c r="C9" s="185" t="str">
        <x:v>TG障子/把手障子/大壁和室用障子</x:v>
      </x:c>
      <x:c r="D9" s="186" t="str">
        <x:v>TW-EV-005,006</x:v>
      </x:c>
    </x:row>
    <x:row r="10">
      <x:c r="A10" s="184" t="str">
        <x:v>サイズ</x:v>
      </x:c>
      <x:c r="B10" s="185" t="str">
        <x:v>COMPLETE</x:v>
      </x:c>
      <x:c r="C10" s="185" t="str">
        <x:v>採寸WS/HS・出来寸WD/HD・主要境界式</x:v>
      </x:c>
      <x:c r="D10" s="186" t="str">
        <x:v>TW-EV-005,006,007</x:v>
      </x:c>
    </x:row>
    <x:row r="11">
      <x:c r="A11" s="184" t="str">
        <x:v>色</x:v>
      </x:c>
      <x:c r="B11" s="185" t="str">
        <x:v>COMPLETE</x:v>
      </x:c>
      <x:c r="C11" s="185" t="str">
        <x:v>外観5色×内観5色 組合せ自由、カバー色分離</x:v>
      </x:c>
      <x:c r="D11" s="186" t="str">
        <x:v>TW-EV-003,004</x:v>
      </x:c>
    </x:row>
    <x:row r="12">
      <x:c r="A12" s="184" t="str">
        <x:v>網戸</x:v>
      </x:c>
      <x:c r="B12" s="185" t="str">
        <x:v>COMPLETE</x:v>
      </x:c>
      <x:c r="C12" s="185" t="str">
        <x:v>中桟無/中桟付、4ネット、中桟付H条件</x:v>
      </x:c>
      <x:c r="D12" s="186" t="str">
        <x:v>TW-EV-005,006</x:v>
      </x:c>
    </x:row>
    <x:row r="13">
      <x:c r="A13" s="184" t="str">
        <x:v>ガラス</x:v>
      </x:c>
      <x:c r="B13" s="185" t="str">
        <x:v>COMPLETE</x:v>
      </x:c>
      <x:c r="C13" s="185" t="str">
        <x:v>専用Low-Eトリプル、アルゴン/クリプトン、樹脂スペーサー</x:v>
      </x:c>
      <x:c r="D13" s="186" t="str">
        <x:v>TW-EV-004,008</x:v>
      </x:c>
    </x:row>
    <x:row r="14">
      <x:c r="A14" s="184" t="str">
        <x:v>オプション</x:v>
      </x:c>
      <x:c r="B14" s="185" t="str">
        <x:v>COMPLETE</x:v>
      </x:c>
      <x:c r="C14" s="185" t="str">
        <x:v>主要有償品・必須/併用不可・非適用を構造化</x:v>
      </x:c>
      <x:c r="D14" s="186" t="str">
        <x:v>TW-EV-009,010</x:v>
      </x:c>
    </x:row>
    <x:row r="15">
      <x:c r="A15" s="184" t="str">
        <x:v>現調</x:v>
      </x:c>
      <x:c r="B15" s="185" t="str">
        <x:v>COMPLETE</x:v>
      </x:c>
      <x:c r="C15" s="185" t="str">
        <x:v>3点採寸、枠見込み、下枠、見付、施工区分</x:v>
      </x:c>
      <x:c r="D15" s="186" t="str">
        <x:v>TW-EV-011</x:v>
      </x:c>
    </x:row>
    <x:row r="16">
      <x:c r="A16" s="184" t="str">
        <x:v>特殊境界</x:v>
      </x:c>
      <x:c r="B16" s="185" t="str">
        <x:v>COMPLETE_WITH_EXTERNAL_CHECK</x:v>
      </x:c>
      <x:c r="C16" s="185" t="str">
        <x:v>曲線/耐風圧/ガラス面積・戸車耐荷重/内嵌め網掛け境界</x:v>
      </x:c>
      <x:c r="D16" s="186" t="str">
        <x:v>TW-EV-007,012</x:v>
      </x:c>
    </x:row>
    <x:row r="17">
      <x:c r="A17" s="187" t="str">
        <x:v>Evidence</x:v>
      </x:c>
      <x:c r="B17" s="188" t="str">
        <x:v>COMPLETE</x:v>
      </x:c>
      <x:c r="C17" s="188" t="str">
        <x:v>TW-EV-001～013</x:v>
      </x:c>
      <x:c r="D17" s="189" t="str">
        <x:v>—</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02" hidden="0" customWidth="1"/>
  </x:cols>
  <x:sheetData>
    <x:row r="1" ht="28" customHeight="1">
      <x:c r="A1" s="178" t="str">
        <x:v>00_README｜LIXIL リプラス 居室仕様 TWタイプ v1.0 完成版</x:v>
      </x:c>
      <x:c r="B1" s="178"/>
    </x:row>
    <x:row r="2" ht="34" customHeight="1">
      <x:c r="A2" s="11"/>
      <x:c r="B2" s="11"/>
    </x:row>
    <x:row r="3">
      <x:c r="A3" s="181" t="str">
        <x:v>キー</x:v>
      </x:c>
      <x:c r="B3" s="183" t="str">
        <x:v>内容</x:v>
      </x:c>
    </x:row>
    <x:row r="4" ht="30" customHeight="1">
      <x:c r="A4" s="196" t="str">
        <x:v>master_id</x:v>
      </x:c>
      <x:c r="B4" s="197" t="str">
        <x:v>LIXIL_RPL_TW_V1_0</x:v>
      </x:c>
    </x:row>
    <x:row r="5">
      <x:c r="A5" s="184" t="str">
        <x:v>manufacturer</x:v>
      </x:c>
      <x:c r="B5" s="186" t="str">
        <x:v>LIXIL</x:v>
      </x:c>
    </x:row>
    <x:row r="6">
      <x:c r="A6" s="184" t="str">
        <x:v>series</x:v>
      </x:c>
      <x:c r="B6" s="186" t="str">
        <x:v>リプラス</x:v>
      </x:c>
    </x:row>
    <x:row r="7">
      <x:c r="A7" s="184" t="str">
        <x:v>installation_system</x:v>
      </x:c>
      <x:c r="B7" s="186" t="str">
        <x:v>RPL_DIRECT / リプラス専用取替枠</x:v>
      </x:c>
    </x:row>
    <x:row r="8">
      <x:c r="A8" s="184" t="str">
        <x:v>variation</x:v>
      </x:c>
      <x:c r="B8" s="186" t="str">
        <x:v>RPL_TW / 居室仕様 TWタイプ</x:v>
      </x:c>
    </x:row>
    <x:row r="9">
      <x:c r="A9" s="184" t="str">
        <x:v>window_scope</x:v>
      </x:c>
      <x:c r="B9" s="186" t="str">
        <x:v>引違い窓のみ</x:v>
      </x:c>
    </x:row>
    <x:row r="10">
      <x:c r="A10" s="184" t="str">
        <x:v>frame_policy</x:v>
      </x:c>
      <x:c r="B10" s="186" t="str">
        <x:v>TWタイプは標準枠/ブリッジ枠のユーザー選択を持たない。frame_typeは固定参照。</x:v>
      </x:c>
    </x:row>
    <x:row r="11">
      <x:c r="A11" s="184" t="str">
        <x:v>dimension_basis</x:v>
      </x:c>
      <x:c r="B11" s="186" t="str">
        <x:v>採寸寸法 WS/HS と 出来寸 WD/HD を分離</x:v>
      </x:c>
    </x:row>
    <x:row r="12">
      <x:c r="A12" s="184" t="str">
        <x:v>size_formula</x:v>
      </x:c>
      <x:c r="B12" s="186" t="str">
        <x:v>WD=WS-10、HD=HS-10（2026業務用価格表・納まりで確認）</x:v>
      </x:c>
    </x:row>
    <x:row r="13">
      <x:c r="A13" s="184" t="str">
        <x:v>glass_policy</x:v>
      </x:c>
      <x:c r="B13" s="186" t="str">
        <x:v>専用Low-Eトリプルガラス。gas_type=ARGON/KRYPTON、spacer=RESIN</x:v>
      </x:c>
    </x:row>
    <x:row r="14">
      <x:c r="A14" s="184" t="str">
        <x:v>normal_ui_policy</x:v>
      </x:c>
      <x:c r="B14" s="186" t="str">
        <x:v>不可能な候補は非表示。施工・現調条件は通常商品選択UIから分離</x:v>
      </x:c>
    </x:row>
    <x:row r="15">
      <x:c r="A15" s="184" t="str">
        <x:v>external_check_policy</x:v>
      </x:c>
      <x:c r="B15" s="186" t="str">
        <x:v>曲線境界、耐風圧、ガラス面積/戸車耐荷重、内嵌めの細部境界は公式資料/見積システム確認</x:v>
      </x:c>
    </x:row>
    <x:row r="16">
      <x:c r="A16" s="184" t="str">
        <x:v>shared_rule_policy</x:v>
      </x:c>
      <x:c r="B16" s="186" t="str">
        <x:v>既設窓互換・共通構造/防火条件は居室仕様完成版の共通ルールを参照し、重複登録しない</x:v>
      </x:c>
    </x:row>
    <x:row r="17">
      <x:c r="A17" s="184" t="str">
        <x:v>completion_status</x:v>
      </x:c>
      <x:c r="B17" s="186" t="str">
        <x:v>COMPLETE</x:v>
      </x:c>
    </x:row>
    <x:row r="18">
      <x:c r="A18" s="187" t="str">
        <x:v>canonical_destination</x:v>
      </x:c>
      <x:c r="B18" s="189" t="str">
        <x:v>01_住宅サッシ / 04_商品マスター / 01_LIXIL / リプラス</x:v>
      </x:c>
    </x:row>
  </x:sheetData>
  <x:mergeCells>
    <x:mergeCell ref="A1:B1"/>
    <x:mergeCell ref="A2:B2"/>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28" hidden="0" customWidth="1"/>
    <x:col min="4" max="4" width="40" hidden="0" customWidth="1"/>
    <x:col min="5" max="5" width="62" hidden="0" customWidth="1"/>
  </x:cols>
  <x:sheetData>
    <x:row r="1" ht="28" customHeight="1">
      <x:c r="A1" s="178" t="str">
        <x:v>01_入力フロー｜TWタイプ</x:v>
      </x:c>
      <x:c r="B1" s="178"/>
      <x:c r="C1" s="178"/>
      <x:c r="D1" s="178"/>
      <x:c r="E1" s="178"/>
    </x:row>
    <x:row r="3" ht="30" customHeight="1">
      <x:c r="A3" s="181" t="str">
        <x:v>順序</x:v>
      </x:c>
      <x:c r="B3" s="182" t="str">
        <x:v>表示項目</x:v>
      </x:c>
      <x:c r="C3" s="182" t="str">
        <x:v>データキー</x:v>
      </x:c>
      <x:c r="D3" s="182" t="str">
        <x:v>候補/入力</x:v>
      </x:c>
      <x:c r="E3" s="183" t="str">
        <x:v>制御</x:v>
      </x:c>
    </x:row>
    <x:row r="4">
      <x:c r="A4" s="184" t="n">
        <x:v>1</x:v>
      </x:c>
      <x:c r="B4" s="185" t="str">
        <x:v>取替方式</x:v>
      </x:c>
      <x:c r="C4" s="185" t="str">
        <x:v>installation_system_id</x:v>
      </x:c>
      <x:c r="D4" s="185" t="str">
        <x:v>RPL_DIRECT</x:v>
      </x:c>
      <x:c r="E4" s="186" t="str">
        <x:v>固定</x:v>
      </x:c>
    </x:row>
    <x:row r="5">
      <x:c r="A5" s="184" t="n">
        <x:v>2</x:v>
      </x:c>
      <x:c r="B5" s="185" t="str">
        <x:v>仕様区分</x:v>
      </x:c>
      <x:c r="C5" s="185" t="str">
        <x:v>variation_id</x:v>
      </x:c>
      <x:c r="D5" s="185" t="str">
        <x:v>RPL_TW</x:v>
      </x:c>
      <x:c r="E5" s="186" t="str">
        <x:v>固定</x:v>
      </x:c>
    </x:row>
    <x:row r="6">
      <x:c r="A6" s="184" t="n">
        <x:v>3</x:v>
      </x:c>
      <x:c r="B6" s="185" t="str">
        <x:v>開口構成</x:v>
      </x:c>
      <x:c r="C6" s="185" t="str">
        <x:v>opening_configuration</x:v>
      </x:c>
      <x:c r="D6" s="185" t="str">
        <x:v>SINGLE</x:v>
      </x:c>
      <x:c r="E6" s="186" t="str">
        <x:v>固定</x:v>
      </x:c>
    </x:row>
    <x:row r="7">
      <x:c r="A7" s="184" t="n">
        <x:v>4</x:v>
      </x:c>
      <x:c r="B7" s="185" t="str">
        <x:v>窓種</x:v>
      </x:c>
      <x:c r="C7" s="185" t="str">
        <x:v>window_type_id</x:v>
      </x:c>
      <x:c r="D7" s="185" t="str">
        <x:v>RPL_TW_SLD / 引違い窓</x:v>
      </x:c>
      <x:c r="E7" s="186" t="str">
        <x:v>固定</x:v>
      </x:c>
    </x:row>
    <x:row r="8">
      <x:c r="A8" s="184" t="n">
        <x:v>5</x:v>
      </x:c>
      <x:c r="B8" s="185" t="str">
        <x:v>建数</x:v>
      </x:c>
      <x:c r="C8" s="185" t="str">
        <x:v>panel_configuration</x:v>
      </x:c>
      <x:c r="D8" s="185" t="str">
        <x:v>2枚建 / 4枚建</x:v>
      </x:c>
      <x:c r="E8" s="186" t="str">
        <x:v>動的選択</x:v>
      </x:c>
    </x:row>
    <x:row r="9">
      <x:c r="A9" s="184" t="n">
        <x:v>6</x:v>
      </x:c>
      <x:c r="B9" s="185" t="str">
        <x:v>高さ区分</x:v>
      </x:c>
      <x:c r="C9" s="185" t="str">
        <x:v>height_category</x:v>
      </x:c>
      <x:c r="D9" s="185" t="str">
        <x:v>マド / テラス</x:v>
      </x:c>
      <x:c r="E9" s="186" t="str">
        <x:v>動的選択</x:v>
      </x:c>
    </x:row>
    <x:row r="10">
      <x:c r="A10" s="184" t="n">
        <x:v>7</x:v>
      </x:c>
      <x:c r="B10" s="185" t="str">
        <x:v>障子仕様</x:v>
      </x:c>
      <x:c r="C10" s="185" t="str">
        <x:v>sash_configuration</x:v>
      </x:c>
      <x:c r="D10" s="185" t="str">
        <x:v>TG / 把手 / 大壁和室用</x:v>
      </x:c>
      <x:c r="E10" s="186" t="str">
        <x:v>建数・高さ区分で絞込</x:v>
      </x:c>
    </x:row>
    <x:row r="11">
      <x:c r="A11" s="184" t="n">
        <x:v>8</x:v>
      </x:c>
      <x:c r="B11" s="185" t="str">
        <x:v>採寸W/H</x:v>
      </x:c>
      <x:c r="C11" s="185" t="str">
        <x:v>survey_w / survey_h</x:v>
      </x:c>
      <x:c r="D11" s="185" t="str">
        <x:v>現場入力</x:v>
      </x:c>
      <x:c r="E11" s="186" t="str">
        <x:v>3点採寸は現調レイヤー</x:v>
      </x:c>
    </x:row>
    <x:row r="12">
      <x:c r="A12" s="184" t="n">
        <x:v>9</x:v>
      </x:c>
      <x:c r="B12" s="185" t="str">
        <x:v>出来寸W/H</x:v>
      </x:c>
      <x:c r="C12" s="185" t="str">
        <x:v>finished_w / finished_h</x:v>
      </x:c>
      <x:c r="D12" s="185" t="str">
        <x:v>自動算出</x:v>
      </x:c>
      <x:c r="E12" s="186" t="str">
        <x:v>WD=WS-10 / HD=HS-10</x:v>
      </x:c>
    </x:row>
    <x:row r="13">
      <x:c r="A13" s="184" t="n">
        <x:v>10</x:v>
      </x:c>
      <x:c r="B13" s="185" t="str">
        <x:v>外観色</x:v>
      </x:c>
      <x:c r="C13" s="185" t="str">
        <x:v>sash_exterior_color</x:v>
      </x:c>
      <x:c r="D13" s="185" t="str">
        <x:v>5色</x:v>
      </x:c>
      <x:c r="E13" s="186" t="str">
        <x:v>TWタイプ公式色のみ</x:v>
      </x:c>
    </x:row>
    <x:row r="14">
      <x:c r="A14" s="184" t="n">
        <x:v>11</x:v>
      </x:c>
      <x:c r="B14" s="185" t="str">
        <x:v>内観色</x:v>
      </x:c>
      <x:c r="C14" s="185" t="str">
        <x:v>sash_interior_color</x:v>
      </x:c>
      <x:c r="D14" s="185" t="str">
        <x:v>5色</x:v>
      </x:c>
      <x:c r="E14" s="186" t="str">
        <x:v>外観との組合せ自由</x:v>
      </x:c>
    </x:row>
    <x:row r="15">
      <x:c r="A15" s="184" t="n">
        <x:v>12</x:v>
      </x:c>
      <x:c r="B15" s="185" t="str">
        <x:v>網戸</x:v>
      </x:c>
      <x:c r="C15" s="185" t="str">
        <x:v>screen_configuration</x:v>
      </x:c>
      <x:c r="D15" s="185" t="str">
        <x:v>なし/中桟無/中桟付</x:v>
      </x:c>
      <x:c r="E15" s="186" t="str">
        <x:v>中桟付はHD条件</x:v>
      </x:c>
    </x:row>
    <x:row r="16">
      <x:c r="A16" s="184" t="n">
        <x:v>13</x:v>
      </x:c>
      <x:c r="B16" s="185" t="str">
        <x:v>ネット</x:v>
      </x:c>
      <x:c r="C16" s="185" t="str">
        <x:v>screen_mesh</x:v>
      </x:c>
      <x:c r="D16" s="185" t="str">
        <x:v>標準/きれい/虫イヤ/ペット</x:v>
      </x:c>
      <x:c r="E16" s="186" t="str">
        <x:v>網戸あり時のみ</x:v>
      </x:c>
    </x:row>
    <x:row r="17">
      <x:c r="A17" s="184" t="n">
        <x:v>14</x:v>
      </x:c>
      <x:c r="B17" s="185" t="str">
        <x:v>ガラス</x:v>
      </x:c>
      <x:c r="C17" s="185" t="str">
        <x:v>glass_category</x:v>
      </x:c>
      <x:c r="D17" s="185" t="str">
        <x:v>専用Low-Eトリプル</x:v>
      </x:c>
      <x:c r="E17" s="186" t="str">
        <x:v>固定</x:v>
      </x:c>
    </x:row>
    <x:row r="18">
      <x:c r="A18" s="184" t="n">
        <x:v>15</x:v>
      </x:c>
      <x:c r="B18" s="185" t="str">
        <x:v>Low-E構成</x:v>
      </x:c>
      <x:c r="C18" s="185" t="str">
        <x:v>glass_low_e_color</x:v>
      </x:c>
      <x:c r="D18" s="185" t="str">
        <x:v>公式構成</x:v>
      </x:c>
      <x:c r="E18" s="186" t="str">
        <x:v>地域/要確認条件で絞込</x:v>
      </x:c>
    </x:row>
    <x:row r="19">
      <x:c r="A19" s="184" t="n">
        <x:v>16</x:v>
      </x:c>
      <x:c r="B19" s="185" t="str">
        <x:v>ガス</x:v>
      </x:c>
      <x:c r="C19" s="185" t="str">
        <x:v>gas_type</x:v>
      </x:c>
      <x:c r="D19" s="185" t="str">
        <x:v>アルゴン / クリプトン</x:v>
      </x:c>
      <x:c r="E19" s="186" t="str">
        <x:v>選択</x:v>
      </x:c>
    </x:row>
    <x:row r="20">
      <x:c r="A20" s="184" t="n">
        <x:v>17</x:v>
      </x:c>
      <x:c r="B20" s="185" t="str">
        <x:v>ガラス仕上げ</x:v>
      </x:c>
      <x:c r="C20" s="185" t="str">
        <x:v>glass_pattern/function</x:v>
      </x:c>
      <x:c r="D20" s="185" t="str">
        <x:v>透明/型/フロスト/安全合わせ等</x:v>
      </x:c>
      <x:c r="E20" s="186" t="str">
        <x:v>公式設定で絞込</x:v>
      </x:c>
    </x:row>
    <x:row r="21">
      <x:c r="A21" s="184" t="n">
        <x:v>18</x:v>
      </x:c>
      <x:c r="B21" s="185" t="str">
        <x:v>オプション</x:v>
      </x:c>
      <x:c r="C21" s="185" t="str">
        <x:v>option_id</x:v>
      </x:c>
      <x:c r="D21" s="185" t="str">
        <x:v>主要有償品</x:v>
      </x:c>
      <x:c r="E21" s="186" t="str">
        <x:v>依存関係適用</x:v>
      </x:c>
    </x:row>
    <x:row r="22">
      <x:c r="A22" s="187" t="n">
        <x:v>19</x:v>
      </x:c>
      <x:c r="B22" s="188" t="str">
        <x:v>現調/施工判定</x:v>
      </x:c>
      <x:c r="C22" s="188" t="str">
        <x:v>survey/installation_condition</x:v>
      </x:c>
      <x:c r="D22" s="188" t="str">
        <x:v>別UI</x:v>
      </x:c>
      <x:c r="E22" s="189" t="str">
        <x:v>商品選択とは分離</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30" hidden="0" customWidth="1"/>
    <x:col min="3" max="3" width="24" hidden="0" customWidth="1"/>
    <x:col min="4" max="4" width="18" hidden="0" customWidth="1"/>
    <x:col min="5" max="5" width="18" hidden="0" customWidth="1"/>
    <x:col min="6" max="6" width="20" hidden="0" customWidth="1"/>
    <x:col min="7" max="7" width="18" hidden="0" customWidth="1"/>
    <x:col min="8" max="8" width="14" hidden="0" customWidth="1"/>
  </x:cols>
  <x:sheetData>
    <x:row r="1" ht="28" customHeight="1">
      <x:c r="A1" s="178" t="str">
        <x:v>02_取替方式｜installation_system</x:v>
      </x:c>
      <x:c r="B1" s="178"/>
      <x:c r="C1" s="178"/>
      <x:c r="D1" s="178"/>
      <x:c r="E1" s="178"/>
      <x:c r="F1" s="178"/>
      <x:c r="G1" s="178"/>
      <x:c r="H1" s="4"/>
    </x:row>
    <x:row r="3" ht="30" customHeight="1">
      <x:c r="A3" s="181" t="str">
        <x:v>installation_system_id</x:v>
      </x:c>
      <x:c r="B3" s="182" t="str">
        <x:v>名称</x:v>
      </x:c>
      <x:c r="C3" s="182" t="str">
        <x:v>データ型</x:v>
      </x:c>
      <x:c r="D3" s="182" t="str">
        <x:v>variation</x:v>
      </x:c>
      <x:c r="E3" s="182" t="str">
        <x:v>今回範囲</x:v>
      </x:c>
      <x:c r="F3" s="182" t="str">
        <x:v>status</x:v>
      </x:c>
      <x:c r="G3" s="183" t="str">
        <x:v>evidence</x:v>
      </x:c>
      <x:c r="H3" s="34"/>
    </x:row>
    <x:row r="4">
      <x:c r="A4" s="184" t="str">
        <x:v>RPL_DIRECT</x:v>
      </x:c>
      <x:c r="B4" s="185" t="str">
        <x:v>リプラス専用取替枠</x:v>
      </x:c>
      <x:c r="C4" s="185" t="str">
        <x:v>完成品/専用枠</x:v>
      </x:c>
      <x:c r="D4" s="185" t="str">
        <x:v>RPL_TW</x:v>
      </x:c>
      <x:c r="E4" s="185" t="str">
        <x:v>今回対象</x:v>
      </x:c>
      <x:c r="F4" s="185" t="str">
        <x:v>COMPLETE</x:v>
      </x:c>
      <x:c r="G4" s="186" t="str">
        <x:v>TW-EV-002</x:v>
      </x:c>
      <x:c r="H4" s="37"/>
    </x:row>
    <x:row r="5">
      <x:c r="A5" s="187" t="str">
        <x:v>RPL_ATT_TW</x:v>
      </x:c>
      <x:c r="B5" s="188" t="str">
        <x:v>アタッチ枠（TW用）</x:v>
      </x:c>
      <x:c r="C5" s="188" t="str">
        <x:v>別installation_system</x:v>
      </x:c>
      <x:c r="D5" s="188" t="str">
        <x:v>—</x:v>
      </x:c>
      <x:c r="E5" s="188" t="str">
        <x:v>対象外</x:v>
      </x:c>
      <x:c r="F5" s="188" t="str">
        <x:v>NOT_APPLICABLE</x:v>
      </x:c>
      <x:c r="G5" s="189" t="str">
        <x:v>TW-EV-002</x:v>
      </x:c>
      <x:c r="H5" s="37"/>
    </x:row>
    <x:row r="6">
      <x:c r="A6" s="35"/>
      <x:c r="B6" s="36"/>
      <x:c r="C6" s="36"/>
      <x:c r="D6" s="36"/>
      <x:c r="E6" s="36"/>
      <x:c r="F6" s="36"/>
      <x:c r="G6" s="36"/>
      <x:c r="H6" s="37"/>
    </x:row>
    <x:row r="7">
      <x:c r="A7" s="38"/>
      <x:c r="B7" s="39"/>
      <x:c r="C7" s="39"/>
      <x:c r="D7" s="39"/>
      <x:c r="E7" s="39"/>
      <x:c r="F7" s="39"/>
      <x:c r="G7" s="39"/>
      <x:c r="H7" s="40"/>
    </x:row>
  </x:sheetData>
  <x:mergeCells>
    <x:mergeCell ref="A1:H1"/>
    <x:mergeCell ref="A1:G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30" hidden="0" customWidth="1"/>
    <x:col min="3" max="3" width="24" hidden="0" customWidth="1"/>
    <x:col min="4" max="4" width="14" hidden="0" customWidth="1"/>
    <x:col min="5" max="5" width="40" hidden="0" customWidth="1"/>
    <x:col min="6" max="6" width="18" hidden="0" customWidth="1"/>
    <x:col min="7" max="7" width="20" hidden="0" customWidth="1"/>
  </x:cols>
  <x:sheetData>
    <x:row r="1" ht="28" customHeight="1">
      <x:c r="A1" s="178" t="str">
        <x:v>02A_仕様区分｜variation</x:v>
      </x:c>
      <x:c r="B1" s="178"/>
      <x:c r="C1" s="178"/>
      <x:c r="D1" s="178"/>
      <x:c r="E1" s="178"/>
      <x:c r="F1" s="178"/>
      <x:c r="G1" s="178"/>
    </x:row>
    <x:row r="3" ht="30" customHeight="1">
      <x:c r="A3" s="181" t="str">
        <x:v>variation_id</x:v>
      </x:c>
      <x:c r="B3" s="182" t="str">
        <x:v>公式名称</x:v>
      </x:c>
      <x:c r="C3" s="182" t="str">
        <x:v>installation_system_id</x:v>
      </x:c>
      <x:c r="D3" s="182" t="str">
        <x:v>用途</x:v>
      </x:c>
      <x:c r="E3" s="182" t="str">
        <x:v>商品体系</x:v>
      </x:c>
      <x:c r="F3" s="182" t="str">
        <x:v>status</x:v>
      </x:c>
      <x:c r="G3" s="183" t="str">
        <x:v>evidence</x:v>
      </x:c>
    </x:row>
    <x:row r="4">
      <x:c r="A4" s="187" t="str">
        <x:v>RPL_TW</x:v>
      </x:c>
      <x:c r="B4" s="188" t="str">
        <x:v>居室仕様 TWタイプ</x:v>
      </x:c>
      <x:c r="C4" s="188" t="str">
        <x:v>RPL_DIRECT</x:v>
      </x:c>
      <x:c r="D4" s="188" t="str">
        <x:v>居室</x:v>
      </x:c>
      <x:c r="E4" s="188" t="str">
        <x:v>引違い窓専用</x:v>
      </x:c>
      <x:c r="F4" s="188" t="str">
        <x:v>COMPLETE</x:v>
      </x:c>
      <x:c r="G4" s="189" t="str">
        <x:v>TW-EV-002,003,004</x:v>
      </x:c>
    </x:row>
    <x:row r="5">
      <x:c r="A5" s="35"/>
      <x:c r="B5" s="36"/>
      <x:c r="C5" s="36"/>
      <x:c r="D5" s="36"/>
      <x:c r="E5" s="36"/>
      <x:c r="F5" s="36"/>
      <x:c r="G5" s="37"/>
    </x:row>
    <x:row r="6">
      <x:c r="A6" s="35"/>
      <x:c r="B6" s="36"/>
      <x:c r="C6" s="36"/>
      <x:c r="D6" s="36"/>
      <x:c r="E6" s="36"/>
      <x:c r="F6" s="36"/>
      <x:c r="G6" s="37"/>
    </x:row>
    <x:row r="7">
      <x:c r="A7" s="38"/>
      <x:c r="B7" s="39"/>
      <x:c r="C7" s="39"/>
      <x:c r="D7" s="39"/>
      <x:c r="E7" s="39"/>
      <x:c r="F7" s="39"/>
      <x:c r="G7" s="40"/>
    </x:row>
  </x:sheetData>
  <x:mergeCells>
    <x:mergeCell ref="A1:G1"/>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8" hidden="0" customWidth="1"/>
    <x:col min="3" max="3" width="16" hidden="0" customWidth="1"/>
    <x:col min="4" max="4" width="16" hidden="0" customWidth="1"/>
    <x:col min="5" max="5" width="54" hidden="0" customWidth="1"/>
    <x:col min="6" max="6" width="18" hidden="0" customWidth="1"/>
    <x:col min="7" max="7" width="20" hidden="0" customWidth="1"/>
  </x:cols>
  <x:sheetData>
    <x:row r="1" ht="28" customHeight="1">
      <x:c r="A1" s="178" t="str">
        <x:v>03_窓種｜TWタイプ</x:v>
      </x:c>
      <x:c r="B1" s="178"/>
      <x:c r="C1" s="178"/>
      <x:c r="D1" s="178"/>
      <x:c r="E1" s="178"/>
      <x:c r="F1" s="178"/>
      <x:c r="G1" s="178"/>
    </x:row>
    <x:row r="2" ht="36" customHeight="1">
      <x:c r="A2" s="179" t="str">
        <x:v>2026業務用資料集・商品カタログ・現行Webを横断確認。TWタイプの新設窓種は引違い窓のみ。</x:v>
      </x:c>
      <x:c r="B2" s="179"/>
      <x:c r="C2" s="179"/>
      <x:c r="D2" s="179"/>
      <x:c r="E2" s="179"/>
      <x:c r="F2" s="179"/>
      <x:c r="G2" s="179"/>
    </x:row>
    <x:row r="4" ht="30" customHeight="1">
      <x:c r="A4" s="181" t="str">
        <x:v>window_type_id</x:v>
      </x:c>
      <x:c r="B4" s="182" t="str">
        <x:v>公式名称</x:v>
      </x:c>
      <x:c r="C4" s="182" t="str">
        <x:v>分類</x:v>
      </x:c>
      <x:c r="D4" s="182" t="str">
        <x:v>操作方式</x:v>
      </x:c>
      <x:c r="E4" s="182" t="str">
        <x:v>固有仕様</x:v>
      </x:c>
      <x:c r="F4" s="182" t="str">
        <x:v>status</x:v>
      </x:c>
      <x:c r="G4" s="183" t="str">
        <x:v>evidence</x:v>
      </x:c>
    </x:row>
    <x:row r="5">
      <x:c r="A5" s="187" t="str">
        <x:v>RPL_TW_SLD</x:v>
      </x:c>
      <x:c r="B5" s="188" t="str">
        <x:v>引違い窓</x:v>
      </x:c>
      <x:c r="C5" s="188" t="str">
        <x:v>引違い</x:v>
      </x:c>
      <x:c r="D5" s="188" t="str">
        <x:v>—</x:v>
      </x:c>
      <x:c r="E5" s="188" t="str">
        <x:v>2枚建/4枚建、マド/テラス</x:v>
      </x:c>
      <x:c r="F5" s="188" t="str">
        <x:v>COMPLETE</x:v>
      </x:c>
      <x:c r="G5" s="189" t="str">
        <x:v>TW-EV-002,003,004</x:v>
      </x:c>
    </x:row>
    <x:row r="6">
      <x:c r="A6" s="35"/>
      <x:c r="B6" s="36"/>
      <x:c r="C6" s="36"/>
      <x:c r="D6" s="36"/>
      <x:c r="E6" s="36"/>
      <x:c r="F6" s="36"/>
      <x:c r="G6" s="37"/>
    </x:row>
    <x:row r="7">
      <x:c r="A7" s="35"/>
      <x:c r="B7" s="36"/>
      <x:c r="C7" s="36"/>
      <x:c r="D7" s="36"/>
      <x:c r="E7" s="36"/>
      <x:c r="F7" s="36"/>
      <x:c r="G7" s="37"/>
    </x:row>
    <x:row r="8">
      <x:c r="A8" s="35"/>
      <x:c r="B8" s="36"/>
      <x:c r="C8" s="36"/>
      <x:c r="D8" s="36"/>
      <x:c r="E8" s="36"/>
      <x:c r="F8" s="36"/>
      <x:c r="G8" s="37"/>
    </x:row>
    <x:row r="9">
      <x:c r="A9" s="35"/>
      <x:c r="B9" s="36"/>
      <x:c r="C9" s="36"/>
      <x:c r="D9" s="36"/>
      <x:c r="E9" s="36"/>
      <x:c r="F9" s="36"/>
      <x:c r="G9" s="37"/>
    </x:row>
    <x:row r="10">
      <x:c r="A10" s="35"/>
      <x:c r="B10" s="36"/>
      <x:c r="C10" s="36"/>
      <x:c r="D10" s="36"/>
      <x:c r="E10" s="36"/>
      <x:c r="F10" s="36"/>
      <x:c r="G10" s="37"/>
    </x:row>
    <x:row r="11">
      <x:c r="A11" s="35"/>
      <x:c r="B11" s="36"/>
      <x:c r="C11" s="36"/>
      <x:c r="D11" s="36"/>
      <x:c r="E11" s="36"/>
      <x:c r="F11" s="36"/>
      <x:c r="G11" s="37"/>
    </x:row>
    <x:row r="12">
      <x:c r="A12" s="38"/>
      <x:c r="B12" s="39"/>
      <x:c r="C12" s="39"/>
      <x:c r="D12" s="39"/>
      <x:c r="E12" s="39"/>
      <x:c r="F12" s="39"/>
      <x:c r="G12" s="40"/>
    </x:row>
  </x:sheetData>
  <x:mergeCells>
    <x:mergeCell ref="A1:G1"/>
    <x:mergeCell ref="A2:G2"/>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8" hidden="0" customWidth="1"/>
    <x:col min="3" max="3" width="16" hidden="0" customWidth="1"/>
    <x:col min="4" max="4" width="72" hidden="0" customWidth="1"/>
    <x:col min="5" max="5" width="16" hidden="0" customWidth="1"/>
    <x:col min="6" max="6" width="18" hidden="0" customWidth="1"/>
    <x:col min="7" max="7" width="18" hidden="0" customWidth="1"/>
  </x:cols>
  <x:sheetData>
    <x:row r="1" ht="28" customHeight="1">
      <x:c r="A1" s="178" t="str">
        <x:v>03A_枠仕様｜TWタイプ固定枠</x:v>
      </x:c>
      <x:c r="B1" s="178"/>
      <x:c r="C1" s="178"/>
      <x:c r="D1" s="178"/>
      <x:c r="E1" s="178"/>
      <x:c r="F1" s="178"/>
      <x:c r="G1" s="178"/>
    </x:row>
    <x:row r="3" ht="30" customHeight="1">
      <x:c r="A3" s="181" t="str">
        <x:v>frame_type_id</x:v>
      </x:c>
      <x:c r="B3" s="182" t="str">
        <x:v>official_label</x:v>
      </x:c>
      <x:c r="C3" s="182" t="str">
        <x:v>ui_mode</x:v>
      </x:c>
      <x:c r="D3" s="182" t="str">
        <x:v>説明</x:v>
      </x:c>
      <x:c r="E3" s="182" t="str">
        <x:v>user_selectable</x:v>
      </x:c>
      <x:c r="F3" s="182" t="str">
        <x:v>status</x:v>
      </x:c>
      <x:c r="G3" s="183" t="str">
        <x:v>evidence</x:v>
      </x:c>
    </x:row>
    <x:row r="4">
      <x:c r="A4" s="187" t="str">
        <x:v>RPL_TW_FRAME</x:v>
      </x:c>
      <x:c r="B4" s="188" t="str">
        <x:v>枠</x:v>
      </x:c>
      <x:c r="C4" s="188" t="str">
        <x:v>FIXED</x:v>
      </x:c>
      <x:c r="D4" s="188" t="str">
        <x:v>TWタイプ固定。標準枠/ブリッジ枠を選択させない</x:v>
      </x:c>
      <x:c r="E4" s="200" t="b">
        <x:v>0</x:v>
      </x:c>
      <x:c r="F4" s="188" t="str">
        <x:v>COMPLETE</x:v>
      </x:c>
      <x:c r="G4" s="189" t="str">
        <x:v>TW-EV-002,005</x:v>
      </x:c>
    </x:row>
    <x:row r="5">
      <x:c r="A5" s="38"/>
      <x:c r="B5" s="39"/>
      <x:c r="C5" s="39"/>
      <x:c r="D5" s="39"/>
      <x:c r="E5" s="39"/>
      <x:c r="F5" s="40"/>
    </x:row>
  </x:sheetData>
  <x:mergeCells>
    <x:mergeCell ref="A1:F1"/>
    <x:mergeCell ref="A1:G1"/>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6" hidden="0" customWidth="1"/>
    <x:col min="6" max="6" width="18" hidden="0" customWidth="1"/>
    <x:col min="7" max="7" width="18" hidden="0" customWidth="1"/>
  </x:cols>
  <x:sheetData>
    <x:row r="1" ht="28" customHeight="1">
      <x:c r="A1" s="178" t="str">
        <x:v>03B_窓種枠設定｜variation × window × frame</x:v>
      </x:c>
      <x:c r="B1" s="178"/>
      <x:c r="C1" s="178"/>
      <x:c r="D1" s="178"/>
      <x:c r="E1" s="178"/>
      <x:c r="F1" s="178"/>
      <x:c r="G1" s="178"/>
    </x:row>
    <x:row r="2" ht="34" customHeight="1">
      <x:c r="A2" s="11"/>
      <x:c r="B2" s="11"/>
      <x:c r="C2" s="11"/>
      <x:c r="D2" s="11"/>
      <x:c r="E2" s="11"/>
      <x:c r="F2" s="11"/>
    </x:row>
    <x:row r="3">
      <x:c r="A3" s="181" t="str">
        <x:v>variation_id</x:v>
      </x:c>
      <x:c r="B3" s="182" t="str">
        <x:v>window_type_id</x:v>
      </x:c>
      <x:c r="C3" s="182" t="str">
        <x:v>frame_type_id</x:v>
      </x:c>
      <x:c r="D3" s="182" t="str">
        <x:v>selectable</x:v>
      </x:c>
      <x:c r="E3" s="182" t="str">
        <x:v>ui_mode</x:v>
      </x:c>
      <x:c r="F3" s="182" t="str">
        <x:v>status</x:v>
      </x:c>
      <x:c r="G3" s="183" t="str">
        <x:v>evidence</x:v>
      </x:c>
    </x:row>
    <x:row r="4" ht="30" customHeight="1">
      <x:c r="A4" s="205" t="str">
        <x:v>RPL_TW</x:v>
      </x:c>
      <x:c r="B4" s="206" t="str">
        <x:v>RPL_TW_SLD</x:v>
      </x:c>
      <x:c r="C4" s="206" t="str">
        <x:v>RPL_TW_FRAME</x:v>
      </x:c>
      <x:c r="D4" s="207" t="b">
        <x:v>1</x:v>
      </x:c>
      <x:c r="E4" s="206" t="str">
        <x:v>FIXED</x:v>
      </x:c>
      <x:c r="F4" s="206" t="str">
        <x:v>COMPLETE</x:v>
      </x:c>
      <x:c r="G4" s="189" t="str">
        <x:v>TW-EV-002,005</x:v>
      </x:c>
    </x:row>
    <x:row r="5">
      <x:c r="A5" s="35"/>
      <x:c r="B5" s="36"/>
      <x:c r="C5" s="36"/>
      <x:c r="D5" s="36"/>
      <x:c r="E5" s="36"/>
      <x:c r="F5" s="37"/>
    </x:row>
    <x:row r="6">
      <x:c r="A6" s="35"/>
      <x:c r="B6" s="36"/>
      <x:c r="C6" s="36"/>
      <x:c r="D6" s="36"/>
      <x:c r="E6" s="36"/>
      <x:c r="F6" s="37"/>
    </x:row>
    <x:row r="7">
      <x:c r="A7" s="35"/>
      <x:c r="B7" s="36"/>
      <x:c r="C7" s="36"/>
      <x:c r="D7" s="36"/>
      <x:c r="E7" s="36"/>
      <x:c r="F7" s="37"/>
    </x:row>
    <x:row r="8">
      <x:c r="A8" s="35"/>
      <x:c r="B8" s="36"/>
      <x:c r="C8" s="36"/>
      <x:c r="D8" s="36"/>
      <x:c r="E8" s="36"/>
      <x:c r="F8" s="37"/>
    </x:row>
    <x:row r="9">
      <x:c r="A9" s="35"/>
      <x:c r="B9" s="36"/>
      <x:c r="C9" s="36"/>
      <x:c r="D9" s="36"/>
      <x:c r="E9" s="36"/>
      <x:c r="F9" s="37"/>
    </x:row>
    <x:row r="10">
      <x:c r="A10" s="35"/>
      <x:c r="B10" s="36"/>
      <x:c r="C10" s="36"/>
      <x:c r="D10" s="36"/>
      <x:c r="E10" s="36"/>
      <x:c r="F10" s="37"/>
    </x:row>
    <x:row r="11">
      <x:c r="A11" s="35"/>
      <x:c r="B11" s="36"/>
      <x:c r="C11" s="36"/>
      <x:c r="D11" s="36"/>
      <x:c r="E11" s="36"/>
      <x:c r="F11" s="37"/>
    </x:row>
    <x:row r="12">
      <x:c r="A12" s="35"/>
      <x:c r="B12" s="36"/>
      <x:c r="C12" s="36"/>
      <x:c r="D12" s="36"/>
      <x:c r="E12" s="36"/>
      <x:c r="F12" s="37"/>
    </x:row>
    <x:row r="13">
      <x:c r="A13" s="38"/>
      <x:c r="B13" s="39"/>
      <x:c r="C13" s="39"/>
      <x:c r="D13" s="39"/>
      <x:c r="E13" s="39"/>
      <x:c r="F13" s="40"/>
    </x:row>
  </x:sheetData>
  <x:mergeCells>
    <x:mergeCell ref="A1:F1"/>
    <x:mergeCell ref="A2:F2"/>
    <x:mergeCell ref="A1:G1"/>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6" hidden="0" customWidth="1"/>
    <x:col min="5" max="5" width="18" hidden="0" customWidth="1"/>
    <x:col min="6" max="6" width="58" hidden="0" customWidth="1"/>
    <x:col min="7" max="7" width="18" hidden="0" customWidth="1"/>
    <x:col min="8" max="8" width="20" hidden="0" customWidth="1"/>
  </x:cols>
  <x:sheetData>
    <x:row r="1" ht="28" customHeight="1">
      <x:c r="A1" s="178" t="str">
        <x:v>04_窓種固有仕様｜TWタイプ</x:v>
      </x:c>
      <x:c r="B1" s="178"/>
      <x:c r="C1" s="178"/>
      <x:c r="D1" s="178"/>
      <x:c r="E1" s="178"/>
      <x:c r="F1" s="178"/>
      <x:c r="G1" s="178"/>
      <x:c r="H1" s="178"/>
    </x:row>
    <x:row r="3" ht="30" customHeight="1">
      <x:c r="A3" s="181" t="str">
        <x:v>solid_spec_id</x:v>
      </x:c>
      <x:c r="B3" s="182" t="str">
        <x:v>window_type_id</x:v>
      </x:c>
      <x:c r="C3" s="182" t="str">
        <x:v>spec_type</x:v>
      </x:c>
      <x:c r="D3" s="182" t="str">
        <x:v>公式値</x:v>
      </x:c>
      <x:c r="E3" s="182" t="str">
        <x:v>selection_mode</x:v>
      </x:c>
      <x:c r="F3" s="182" t="str">
        <x:v>適用条件</x:v>
      </x:c>
      <x:c r="G3" s="182" t="str">
        <x:v>status</x:v>
      </x:c>
      <x:c r="H3" s="183" t="str">
        <x:v>evidence</x:v>
      </x:c>
    </x:row>
    <x:row r="4">
      <x:c r="A4" s="184" t="str">
        <x:v>TW-SS-PANEL-2</x:v>
      </x:c>
      <x:c r="B4" s="185" t="str">
        <x:v>RPL_TW_SLD</x:v>
      </x:c>
      <x:c r="C4" s="185" t="str">
        <x:v>panel_configuration</x:v>
      </x:c>
      <x:c r="D4" s="185" t="str">
        <x:v>2枚建</x:v>
      </x:c>
      <x:c r="E4" s="185" t="str">
        <x:v>EXCLUSIVE</x:v>
      </x:c>
      <x:c r="F4" s="185" t="str">
        <x:v>マド/テラス</x:v>
      </x:c>
      <x:c r="G4" s="185" t="str">
        <x:v>COMPLETE</x:v>
      </x:c>
      <x:c r="H4" s="186" t="str">
        <x:v>TW-EV-005,006</x:v>
      </x:c>
    </x:row>
    <x:row r="5">
      <x:c r="A5" s="184" t="str">
        <x:v>TW-SS-PANEL-4</x:v>
      </x:c>
      <x:c r="B5" s="185" t="str">
        <x:v>RPL_TW_SLD</x:v>
      </x:c>
      <x:c r="C5" s="185" t="str">
        <x:v>panel_configuration</x:v>
      </x:c>
      <x:c r="D5" s="185" t="str">
        <x:v>4枚建</x:v>
      </x:c>
      <x:c r="E5" s="185" t="str">
        <x:v>EXCLUSIVE</x:v>
      </x:c>
      <x:c r="F5" s="185" t="str">
        <x:v>マド/テラス</x:v>
      </x:c>
      <x:c r="G5" s="185" t="str">
        <x:v>COMPLETE</x:v>
      </x:c>
      <x:c r="H5" s="186" t="str">
        <x:v>TW-EV-005,006</x:v>
      </x:c>
    </x:row>
    <x:row r="6">
      <x:c r="A6" s="184" t="str">
        <x:v>TW-SS-MAD</x:v>
      </x:c>
      <x:c r="B6" s="185" t="str">
        <x:v>RPL_TW_SLD</x:v>
      </x:c>
      <x:c r="C6" s="185" t="str">
        <x:v>height_category</x:v>
      </x:c>
      <x:c r="D6" s="185" t="str">
        <x:v>マド</x:v>
      </x:c>
      <x:c r="E6" s="185" t="str">
        <x:v>EXCLUSIVE</x:v>
      </x:c>
      <x:c r="F6" s="185" t="str">
        <x:v>TG障子のみ</x:v>
      </x:c>
      <x:c r="G6" s="185" t="str">
        <x:v>COMPLETE</x:v>
      </x:c>
      <x:c r="H6" s="186" t="str">
        <x:v>TW-EV-005,006</x:v>
      </x:c>
    </x:row>
    <x:row r="7">
      <x:c r="A7" s="184" t="str">
        <x:v>TW-SS-TER</x:v>
      </x:c>
      <x:c r="B7" s="185" t="str">
        <x:v>RPL_TW_SLD</x:v>
      </x:c>
      <x:c r="C7" s="185" t="str">
        <x:v>height_category</x:v>
      </x:c>
      <x:c r="D7" s="185" t="str">
        <x:v>テラス</x:v>
      </x:c>
      <x:c r="E7" s="185" t="str">
        <x:v>EXCLUSIVE</x:v>
      </x:c>
      <x:c r="F7" s="185" t="str">
        <x:v>TG/把手/大壁和室用</x:v>
      </x:c>
      <x:c r="G7" s="185" t="str">
        <x:v>COMPLETE</x:v>
      </x:c>
      <x:c r="H7" s="186" t="str">
        <x:v>TW-EV-005,006</x:v>
      </x:c>
    </x:row>
    <x:row r="8">
      <x:c r="A8" s="184" t="str">
        <x:v>TW-SS-TG</x:v>
      </x:c>
      <x:c r="B8" s="185" t="str">
        <x:v>RPL_TW_SLD</x:v>
      </x:c>
      <x:c r="C8" s="185" t="str">
        <x:v>sash_configuration</x:v>
      </x:c>
      <x:c r="D8" s="185" t="str">
        <x:v>TG障子</x:v>
      </x:c>
      <x:c r="E8" s="185" t="str">
        <x:v>EXCLUSIVE</x:v>
      </x:c>
      <x:c r="F8" s="185" t="str">
        <x:v>2/4枚建、マド/テラス</x:v>
      </x:c>
      <x:c r="G8" s="185" t="str">
        <x:v>COMPLETE</x:v>
      </x:c>
      <x:c r="H8" s="186" t="str">
        <x:v>TW-EV-005,006</x:v>
      </x:c>
    </x:row>
    <x:row r="9">
      <x:c r="A9" s="184" t="str">
        <x:v>TW-SS-HANDLE</x:v>
      </x:c>
      <x:c r="B9" s="185" t="str">
        <x:v>RPL_TW_SLD</x:v>
      </x:c>
      <x:c r="C9" s="185" t="str">
        <x:v>sash_configuration</x:v>
      </x:c>
      <x:c r="D9" s="185" t="str">
        <x:v>把手障子</x:v>
      </x:c>
      <x:c r="E9" s="185" t="str">
        <x:v>EXCLUSIVE</x:v>
      </x:c>
      <x:c r="F9" s="185" t="str">
        <x:v>テラスのみ、2/4枚建</x:v>
      </x:c>
      <x:c r="G9" s="185" t="str">
        <x:v>COMPLETE</x:v>
      </x:c>
      <x:c r="H9" s="186" t="str">
        <x:v>TW-EV-005,007</x:v>
      </x:c>
    </x:row>
    <x:row r="10">
      <x:c r="A10" s="187" t="str">
        <x:v>TW-SS-WASHI</x:v>
      </x:c>
      <x:c r="B10" s="188" t="str">
        <x:v>RPL_TW_SLD</x:v>
      </x:c>
      <x:c r="C10" s="188" t="str">
        <x:v>sash_configuration</x:v>
      </x:c>
      <x:c r="D10" s="188" t="str">
        <x:v>大壁和室用障子</x:v>
      </x:c>
      <x:c r="E10" s="188" t="str">
        <x:v>EXCLUSIVE</x:v>
      </x:c>
      <x:c r="F10" s="188" t="str">
        <x:v>テラス2枚建のみ</x:v>
      </x:c>
      <x:c r="G10" s="188" t="str">
        <x:v>COMPLETE</x:v>
      </x:c>
      <x:c r="H10" s="189" t="str">
        <x:v>TW-EV-005,007</x:v>
      </x:c>
    </x:row>
    <x:row r="11">
      <x:c r="A11" s="35"/>
      <x:c r="B11" s="36"/>
      <x:c r="C11" s="36"/>
      <x:c r="D11" s="36"/>
      <x:c r="E11" s="36"/>
      <x:c r="F11" s="36"/>
      <x:c r="G11" s="36"/>
      <x:c r="H11" s="37"/>
    </x:row>
    <x:row r="12">
      <x:c r="A12" s="35"/>
      <x:c r="B12" s="36"/>
      <x:c r="C12" s="36"/>
      <x:c r="D12" s="36"/>
      <x:c r="E12" s="36"/>
      <x:c r="F12" s="36"/>
      <x:c r="G12" s="36"/>
      <x:c r="H12" s="37"/>
    </x:row>
    <x:row r="13">
      <x:c r="A13" s="38"/>
      <x:c r="B13" s="39"/>
      <x:c r="C13" s="39"/>
      <x:c r="D13" s="39"/>
      <x:c r="E13" s="39"/>
      <x:c r="F13" s="39"/>
      <x:c r="G13" s="39"/>
      <x:c r="H13" s="40"/>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2" hidden="0" customWidth="1"/>
    <x:col min="2" max="2" width="24" hidden="0" customWidth="1"/>
    <x:col min="3" max="3" width="20" hidden="0" customWidth="1"/>
    <x:col min="4" max="4" width="16" hidden="0" customWidth="1"/>
    <x:col min="5" max="5" width="16" hidden="0" customWidth="1"/>
    <x:col min="6" max="6" width="28"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2" hidden="0" customWidth="1"/>
    <x:col min="16" max="16" width="24" hidden="0" customWidth="1"/>
    <x:col min="17" max="17" width="30" hidden="0" customWidth="1"/>
    <x:col min="18" max="18" width="18" hidden="0" customWidth="1"/>
  </x:cols>
  <x:sheetData>
    <x:row r="1" ht="28" customHeight="1">
      <x:c r="A1" s="178" t="str">
        <x:v>05_サイズルール｜TWタイプ 出来寸基準</x:v>
      </x:c>
      <x:c r="B1" s="178"/>
      <x:c r="C1" s="178"/>
      <x:c r="D1" s="178"/>
      <x:c r="E1" s="178"/>
      <x:c r="F1" s="178"/>
      <x:c r="G1" s="178"/>
      <x:c r="H1" s="178"/>
      <x:c r="I1" s="178"/>
      <x:c r="J1" s="178"/>
      <x:c r="K1" s="178"/>
      <x:c r="L1" s="178"/>
      <x:c r="M1" s="178"/>
      <x:c r="N1" s="178"/>
      <x:c r="O1" s="178"/>
      <x:c r="P1" s="178"/>
      <x:c r="Q1" s="178"/>
      <x:c r="R1" s="178"/>
    </x:row>
    <x:row r="2" ht="36" customHeight="1">
      <x:c r="A2" s="179" t="str">
        <x:v>正式判定基準は出来寸 WD/HD。採寸は WD=WS-10 / HD=HS-10。単純包絡だけで可否を確定せず、05A/05Bの境界を優先。</x:v>
      </x:c>
      <x:c r="B2" s="179"/>
      <x:c r="C2" s="179"/>
      <x:c r="D2" s="179"/>
      <x:c r="E2" s="179"/>
      <x:c r="F2" s="179"/>
      <x:c r="G2" s="179"/>
      <x:c r="H2" s="179"/>
      <x:c r="I2" s="179"/>
      <x:c r="J2" s="179"/>
      <x:c r="K2" s="179"/>
      <x:c r="L2" s="179"/>
      <x:c r="M2" s="179"/>
      <x:c r="N2" s="179"/>
      <x:c r="O2" s="179"/>
      <x:c r="P2" s="179"/>
      <x:c r="Q2" s="179"/>
      <x:c r="R2" s="179"/>
    </x:row>
    <x:row r="4" ht="30" customHeight="1">
      <x:c r="A4" s="181" t="str">
        <x:v>size_rule_id</x:v>
      </x:c>
      <x:c r="B4" s="182" t="str">
        <x:v>window_type_id</x:v>
      </x:c>
      <x:c r="C4" s="182" t="str">
        <x:v>frame_type_id</x:v>
      </x:c>
      <x:c r="D4" s="182" t="str">
        <x:v>panel_configuration</x:v>
      </x:c>
      <x:c r="E4" s="182" t="str">
        <x:v>height_category</x:v>
      </x:c>
      <x:c r="F4" s="182" t="str">
        <x:v>sash_configuration</x:v>
      </x:c>
      <x:c r="G4" s="182" t="str">
        <x:v>finished_w_min</x:v>
      </x:c>
      <x:c r="H4" s="182" t="str">
        <x:v>finished_w_max</x:v>
      </x:c>
      <x:c r="I4" s="182" t="str">
        <x:v>finished_h_min</x:v>
      </x:c>
      <x:c r="J4" s="182" t="str">
        <x:v>finished_h_max</x:v>
      </x:c>
      <x:c r="K4" s="182" t="str">
        <x:v>survey_w_min</x:v>
      </x:c>
      <x:c r="L4" s="182" t="str">
        <x:v>survey_w_max</x:v>
      </x:c>
      <x:c r="M4" s="182" t="str">
        <x:v>survey_h_min</x:v>
      </x:c>
      <x:c r="N4" s="182" t="str">
        <x:v>survey_h_max</x:v>
      </x:c>
      <x:c r="O4" s="182" t="str">
        <x:v>boundary_rule_id</x:v>
      </x:c>
      <x:c r="P4" s="182" t="str">
        <x:v>auto_mode</x:v>
      </x:c>
      <x:c r="Q4" s="182" t="str">
        <x:v>status</x:v>
      </x:c>
      <x:c r="R4" s="183" t="str">
        <x:v>evidence</x:v>
      </x:c>
    </x:row>
    <x:row r="5">
      <x:c r="A5" s="184" t="str">
        <x:v>TW-SZ-MAD2</x:v>
      </x:c>
      <x:c r="B5" s="185" t="str">
        <x:v>RPL_TW_SLD</x:v>
      </x:c>
      <x:c r="C5" s="185" t="str">
        <x:v>RPL_TW_FRAME</x:v>
      </x:c>
      <x:c r="D5" s="185" t="str">
        <x:v>2枚建</x:v>
      </x:c>
      <x:c r="E5" s="185" t="str">
        <x:v>マド</x:v>
      </x:c>
      <x:c r="F5" s="185" t="str">
        <x:v>TG障子</x:v>
      </x:c>
      <x:c r="G5" s="209" t="n">
        <x:v>647</x:v>
      </x:c>
      <x:c r="H5" s="209" t="n">
        <x:v>3017</x:v>
      </x:c>
      <x:c r="I5" s="209" t="n">
        <x:v>347</x:v>
      </x:c>
      <x:c r="J5" s="209" t="n">
        <x:v>1647</x:v>
      </x:c>
      <x:c r="K5" s="209" t="n">
        <x:v>657</x:v>
      </x:c>
      <x:c r="L5" s="209" t="n">
        <x:v>3027</x:v>
      </x:c>
      <x:c r="M5" s="209" t="n">
        <x:v>357</x:v>
      </x:c>
      <x:c r="N5" s="209" t="n">
        <x:v>1657</x:v>
      </x:c>
      <x:c r="O5" s="185" t="str">
        <x:v>TW-BR-MAD2</x:v>
      </x:c>
      <x:c r="P5" s="185" t="str">
        <x:v>AUTO_WITH_BOUNDARY</x:v>
      </x:c>
      <x:c r="Q5" s="185" t="str">
        <x:v>COMPLETE</x:v>
      </x:c>
      <x:c r="R5" s="186" t="str">
        <x:v>TW-EV-007</x:v>
      </x:c>
    </x:row>
    <x:row r="6">
      <x:c r="A6" s="184" t="str">
        <x:v>TW-SZ-MAD4</x:v>
      </x:c>
      <x:c r="B6" s="185" t="str">
        <x:v>RPL_TW_SLD</x:v>
      </x:c>
      <x:c r="C6" s="185" t="str">
        <x:v>RPL_TW_FRAME</x:v>
      </x:c>
      <x:c r="D6" s="185" t="str">
        <x:v>4枚建</x:v>
      </x:c>
      <x:c r="E6" s="185" t="str">
        <x:v>マド</x:v>
      </x:c>
      <x:c r="F6" s="185" t="str">
        <x:v>TG障子</x:v>
      </x:c>
      <x:c r="G6" s="209" t="n">
        <x:v>1394</x:v>
      </x:c>
      <x:c r="H6" s="209" t="n">
        <x:v>4017</x:v>
      </x:c>
      <x:c r="I6" s="209" t="n">
        <x:v>1167</x:v>
      </x:c>
      <x:c r="J6" s="209" t="n">
        <x:v>1647</x:v>
      </x:c>
      <x:c r="K6" s="209" t="n">
        <x:v>1404</x:v>
      </x:c>
      <x:c r="L6" s="209" t="n">
        <x:v>4027</x:v>
      </x:c>
      <x:c r="M6" s="209" t="n">
        <x:v>1177</x:v>
      </x:c>
      <x:c r="N6" s="209" t="n">
        <x:v>1657</x:v>
      </x:c>
      <x:c r="O6" s="185" t="str">
        <x:v>TW-BR-MAD4</x:v>
      </x:c>
      <x:c r="P6" s="185" t="str">
        <x:v>AUTO_WITH_BOUNDARY</x:v>
      </x:c>
      <x:c r="Q6" s="185" t="str">
        <x:v>COMPLETE</x:v>
      </x:c>
      <x:c r="R6" s="186" t="str">
        <x:v>TW-EV-007</x:v>
      </x:c>
    </x:row>
    <x:row r="7">
      <x:c r="A7" s="184" t="str">
        <x:v>TW-SZ-TER2-TG</x:v>
      </x:c>
      <x:c r="B7" s="185" t="str">
        <x:v>RPL_TW_SLD</x:v>
      </x:c>
      <x:c r="C7" s="185" t="str">
        <x:v>RPL_TW_FRAME</x:v>
      </x:c>
      <x:c r="D7" s="185" t="str">
        <x:v>2枚建</x:v>
      </x:c>
      <x:c r="E7" s="185" t="str">
        <x:v>テラス</x:v>
      </x:c>
      <x:c r="F7" s="185" t="str">
        <x:v>TG障子</x:v>
      </x:c>
      <x:c r="G7" s="209" t="n">
        <x:v>977</x:v>
      </x:c>
      <x:c r="H7" s="209" t="n">
        <x:v>3017</x:v>
      </x:c>
      <x:c r="I7" s="209" t="n">
        <x:v>1547</x:v>
      </x:c>
      <x:c r="J7" s="209" t="n">
        <x:v>2527</x:v>
      </x:c>
      <x:c r="K7" s="209" t="n">
        <x:v>987</x:v>
      </x:c>
      <x:c r="L7" s="209" t="n">
        <x:v>3027</x:v>
      </x:c>
      <x:c r="M7" s="209" t="n">
        <x:v>1557</x:v>
      </x:c>
      <x:c r="N7" s="209" t="n">
        <x:v>2537</x:v>
      </x:c>
      <x:c r="O7" s="185" t="str">
        <x:v>TW-BR-TER2</x:v>
      </x:c>
      <x:c r="P7" s="185" t="str">
        <x:v>AUTO_PLUS_EXTERNAL_ZONE</x:v>
      </x:c>
      <x:c r="Q7" s="185" t="str">
        <x:v>COMPLETE_WITH_EXTERNAL_CHECK</x:v>
      </x:c>
      <x:c r="R7" s="186" t="str">
        <x:v>TW-EV-007</x:v>
      </x:c>
    </x:row>
    <x:row r="8">
      <x:c r="A8" s="184" t="str">
        <x:v>TW-SZ-TER4-TG</x:v>
      </x:c>
      <x:c r="B8" s="185" t="str">
        <x:v>RPL_TW_SLD</x:v>
      </x:c>
      <x:c r="C8" s="185" t="str">
        <x:v>RPL_TW_FRAME</x:v>
      </x:c>
      <x:c r="D8" s="185" t="str">
        <x:v>4枚建</x:v>
      </x:c>
      <x:c r="E8" s="185" t="str">
        <x:v>テラス</x:v>
      </x:c>
      <x:c r="F8" s="185" t="str">
        <x:v>TG障子</x:v>
      </x:c>
      <x:c r="G8" s="209" t="n">
        <x:v>1897</x:v>
      </x:c>
      <x:c r="H8" s="209" t="n">
        <x:v>4017</x:v>
      </x:c>
      <x:c r="I8" s="209" t="n">
        <x:v>1547</x:v>
      </x:c>
      <x:c r="J8" s="209" t="n">
        <x:v>2527</x:v>
      </x:c>
      <x:c r="K8" s="209" t="n">
        <x:v>1907</x:v>
      </x:c>
      <x:c r="L8" s="209" t="n">
        <x:v>4027</x:v>
      </x:c>
      <x:c r="M8" s="209" t="n">
        <x:v>1557</x:v>
      </x:c>
      <x:c r="N8" s="209" t="n">
        <x:v>2537</x:v>
      </x:c>
      <x:c r="O8" s="185" t="str">
        <x:v>TW-BR-TER4</x:v>
      </x:c>
      <x:c r="P8" s="185" t="str">
        <x:v>AUTO_WITH_BOUNDARY</x:v>
      </x:c>
      <x:c r="Q8" s="185" t="str">
        <x:v>COMPLETE</x:v>
      </x:c>
      <x:c r="R8" s="186" t="str">
        <x:v>TW-EV-007</x:v>
      </x:c>
    </x:row>
    <x:row r="9">
      <x:c r="A9" s="184" t="str">
        <x:v>TW-SZ-TER2-HANDLE</x:v>
      </x:c>
      <x:c r="B9" s="185" t="str">
        <x:v>RPL_TW_SLD</x:v>
      </x:c>
      <x:c r="C9" s="185" t="str">
        <x:v>RPL_TW_FRAME</x:v>
      </x:c>
      <x:c r="D9" s="185" t="str">
        <x:v>2枚建</x:v>
      </x:c>
      <x:c r="E9" s="185" t="str">
        <x:v>テラス</x:v>
      </x:c>
      <x:c r="F9" s="185" t="str">
        <x:v>把手障子</x:v>
      </x:c>
      <x:c r="G9" s="209" t="n">
        <x:v>977</x:v>
      </x:c>
      <x:c r="H9" s="209" t="n">
        <x:v>3017</x:v>
      </x:c>
      <x:c r="I9" s="209" t="n">
        <x:v>1547</x:v>
      </x:c>
      <x:c r="J9" s="209" t="n">
        <x:v>2527</x:v>
      </x:c>
      <x:c r="K9" s="209" t="n">
        <x:v>987</x:v>
      </x:c>
      <x:c r="L9" s="209" t="n">
        <x:v>3027</x:v>
      </x:c>
      <x:c r="M9" s="209" t="n">
        <x:v>1557</x:v>
      </x:c>
      <x:c r="N9" s="209" t="n">
        <x:v>2537</x:v>
      </x:c>
      <x:c r="O9" s="185" t="str">
        <x:v>TW-BR-TER2</x:v>
      </x:c>
      <x:c r="P9" s="185" t="str">
        <x:v>AUTO_PLUS_EXTERNAL_ZONE</x:v>
      </x:c>
      <x:c r="Q9" s="185" t="str">
        <x:v>COMPLETE_WITH_EXTERNAL_CHECK</x:v>
      </x:c>
      <x:c r="R9" s="186" t="str">
        <x:v>TW-EV-007</x:v>
      </x:c>
    </x:row>
    <x:row r="10">
      <x:c r="A10" s="184" t="str">
        <x:v>TW-SZ-TER4-HANDLE</x:v>
      </x:c>
      <x:c r="B10" s="185" t="str">
        <x:v>RPL_TW_SLD</x:v>
      </x:c>
      <x:c r="C10" s="185" t="str">
        <x:v>RPL_TW_FRAME</x:v>
      </x:c>
      <x:c r="D10" s="185" t="str">
        <x:v>4枚建</x:v>
      </x:c>
      <x:c r="E10" s="185" t="str">
        <x:v>テラス</x:v>
      </x:c>
      <x:c r="F10" s="185" t="str">
        <x:v>把手障子</x:v>
      </x:c>
      <x:c r="G10" s="209" t="n">
        <x:v>1897</x:v>
      </x:c>
      <x:c r="H10" s="209" t="n">
        <x:v>4017</x:v>
      </x:c>
      <x:c r="I10" s="209" t="n">
        <x:v>1547</x:v>
      </x:c>
      <x:c r="J10" s="209" t="n">
        <x:v>2527</x:v>
      </x:c>
      <x:c r="K10" s="209" t="n">
        <x:v>1907</x:v>
      </x:c>
      <x:c r="L10" s="209" t="n">
        <x:v>4027</x:v>
      </x:c>
      <x:c r="M10" s="209" t="n">
        <x:v>1557</x:v>
      </x:c>
      <x:c r="N10" s="209" t="n">
        <x:v>2537</x:v>
      </x:c>
      <x:c r="O10" s="185" t="str">
        <x:v>TW-BR-TER4</x:v>
      </x:c>
      <x:c r="P10" s="185" t="str">
        <x:v>AUTO_WITH_BOUNDARY</x:v>
      </x:c>
      <x:c r="Q10" s="185" t="str">
        <x:v>COMPLETE</x:v>
      </x:c>
      <x:c r="R10" s="186" t="str">
        <x:v>TW-EV-007</x:v>
      </x:c>
    </x:row>
    <x:row r="11">
      <x:c r="A11" s="187" t="str">
        <x:v>TW-SZ-TER2-WASHI</x:v>
      </x:c>
      <x:c r="B11" s="188" t="str">
        <x:v>RPL_TW_SLD</x:v>
      </x:c>
      <x:c r="C11" s="188" t="str">
        <x:v>RPL_TW_FRAME</x:v>
      </x:c>
      <x:c r="D11" s="188" t="str">
        <x:v>2枚建</x:v>
      </x:c>
      <x:c r="E11" s="188" t="str">
        <x:v>テラス</x:v>
      </x:c>
      <x:c r="F11" s="188" t="str">
        <x:v>大壁和室用障子</x:v>
      </x:c>
      <x:c r="G11" s="210" t="n">
        <x:v>977</x:v>
      </x:c>
      <x:c r="H11" s="210" t="n">
        <x:v>3017</x:v>
      </x:c>
      <x:c r="I11" s="210" t="n">
        <x:v>1547</x:v>
      </x:c>
      <x:c r="J11" s="210" t="n">
        <x:v>2527</x:v>
      </x:c>
      <x:c r="K11" s="210" t="n">
        <x:v>987</x:v>
      </x:c>
      <x:c r="L11" s="210" t="n">
        <x:v>3027</x:v>
      </x:c>
      <x:c r="M11" s="210" t="n">
        <x:v>1557</x:v>
      </x:c>
      <x:c r="N11" s="210" t="n">
        <x:v>2537</x:v>
      </x:c>
      <x:c r="O11" s="188" t="str">
        <x:v>TW-BR-TER2</x:v>
      </x:c>
      <x:c r="P11" s="188" t="str">
        <x:v>AUTO_PLUS_EXTERNAL_ZONE</x:v>
      </x:c>
      <x:c r="Q11" s="188" t="str">
        <x:v>COMPLETE_WITH_EXTERNAL_CHECK</x:v>
      </x:c>
      <x:c r="R11" s="189" t="str">
        <x:v>TW-EV-007</x:v>
      </x:c>
    </x:row>
    <x:row r="12">
      <x:c r="A12" s="35"/>
      <x:c r="B12" s="36"/>
      <x:c r="C12" s="36"/>
      <x:c r="D12" s="36"/>
      <x:c r="E12" s="36"/>
      <x:c r="F12" s="36"/>
      <x:c r="G12" s="62"/>
      <x:c r="H12" s="62"/>
      <x:c r="I12" s="62"/>
      <x:c r="J12" s="62"/>
      <x:c r="K12" s="62"/>
      <x:c r="L12" s="62"/>
      <x:c r="M12" s="62"/>
      <x:c r="N12" s="62"/>
      <x:c r="O12" s="36"/>
      <x:c r="P12" s="36"/>
      <x:c r="Q12" s="36"/>
      <x:c r="R12" s="37"/>
    </x:row>
    <x:row r="13">
      <x:c r="A13" s="35"/>
      <x:c r="B13" s="36"/>
      <x:c r="C13" s="36"/>
      <x:c r="D13" s="36"/>
      <x:c r="E13" s="36"/>
      <x:c r="F13" s="36"/>
      <x:c r="G13" s="62"/>
      <x:c r="H13" s="62"/>
      <x:c r="I13" s="62"/>
      <x:c r="J13" s="62"/>
      <x:c r="K13" s="62"/>
      <x:c r="L13" s="62"/>
      <x:c r="M13" s="62"/>
      <x:c r="N13" s="62"/>
      <x:c r="O13" s="36"/>
      <x:c r="P13" s="36"/>
      <x:c r="Q13" s="36"/>
      <x:c r="R13" s="37"/>
    </x:row>
    <x:row r="14">
      <x:c r="A14" s="35"/>
      <x:c r="B14" s="36"/>
      <x:c r="C14" s="36"/>
      <x:c r="D14" s="36"/>
      <x:c r="E14" s="36"/>
      <x:c r="F14" s="36"/>
      <x:c r="G14" s="62"/>
      <x:c r="H14" s="62"/>
      <x:c r="I14" s="62"/>
      <x:c r="J14" s="62"/>
      <x:c r="K14" s="62"/>
      <x:c r="L14" s="62"/>
      <x:c r="M14" s="62"/>
      <x:c r="N14" s="62"/>
      <x:c r="O14" s="36"/>
      <x:c r="P14" s="36"/>
      <x:c r="Q14" s="36"/>
      <x:c r="R14" s="37"/>
    </x:row>
    <x:row r="15">
      <x:c r="A15" s="35"/>
      <x:c r="B15" s="36"/>
      <x:c r="C15" s="36"/>
      <x:c r="D15" s="36"/>
      <x:c r="E15" s="36"/>
      <x:c r="F15" s="36"/>
      <x:c r="G15" s="62"/>
      <x:c r="H15" s="62"/>
      <x:c r="I15" s="62"/>
      <x:c r="J15" s="62"/>
      <x:c r="K15" s="62"/>
      <x:c r="L15" s="62"/>
      <x:c r="M15" s="62"/>
      <x:c r="N15" s="62"/>
      <x:c r="O15" s="36"/>
      <x:c r="P15" s="36"/>
      <x:c r="Q15" s="36"/>
      <x:c r="R15" s="37"/>
    </x:row>
    <x:row r="16">
      <x:c r="A16" s="35"/>
      <x:c r="B16" s="36"/>
      <x:c r="C16" s="36"/>
      <x:c r="D16" s="36"/>
      <x:c r="E16" s="36"/>
      <x:c r="F16" s="36"/>
      <x:c r="G16" s="62"/>
      <x:c r="H16" s="62"/>
      <x:c r="I16" s="62"/>
      <x:c r="J16" s="62"/>
      <x:c r="K16" s="62"/>
      <x:c r="L16" s="62"/>
      <x:c r="M16" s="62"/>
      <x:c r="N16" s="62"/>
      <x:c r="O16" s="36"/>
      <x:c r="P16" s="36"/>
      <x:c r="Q16" s="36"/>
      <x:c r="R16" s="37"/>
    </x:row>
    <x:row r="17">
      <x:c r="A17" s="35"/>
      <x:c r="B17" s="36"/>
      <x:c r="C17" s="36"/>
      <x:c r="D17" s="36"/>
      <x:c r="E17" s="36"/>
      <x:c r="F17" s="36"/>
      <x:c r="G17" s="62"/>
      <x:c r="H17" s="62"/>
      <x:c r="I17" s="62"/>
      <x:c r="J17" s="62"/>
      <x:c r="K17" s="62"/>
      <x:c r="L17" s="62"/>
      <x:c r="M17" s="62"/>
      <x:c r="N17" s="62"/>
      <x:c r="O17" s="36"/>
      <x:c r="P17" s="36"/>
      <x:c r="Q17" s="36"/>
      <x:c r="R17" s="37"/>
    </x:row>
    <x:row r="18">
      <x:c r="A18" s="35"/>
      <x:c r="B18" s="36"/>
      <x:c r="C18" s="36"/>
      <x:c r="D18" s="36"/>
      <x:c r="E18" s="36"/>
      <x:c r="F18" s="36"/>
      <x:c r="G18" s="62"/>
      <x:c r="H18" s="62"/>
      <x:c r="I18" s="62"/>
      <x:c r="J18" s="62"/>
      <x:c r="K18" s="62"/>
      <x:c r="L18" s="62"/>
      <x:c r="M18" s="62"/>
      <x:c r="N18" s="62"/>
      <x:c r="O18" s="36"/>
      <x:c r="P18" s="36"/>
      <x:c r="Q18" s="36"/>
      <x:c r="R18" s="37"/>
    </x:row>
    <x:row r="19">
      <x:c r="A19" s="35"/>
      <x:c r="B19" s="36"/>
      <x:c r="C19" s="36"/>
      <x:c r="D19" s="36"/>
      <x:c r="E19" s="36"/>
      <x:c r="F19" s="36"/>
      <x:c r="G19" s="62"/>
      <x:c r="H19" s="62"/>
      <x:c r="I19" s="62"/>
      <x:c r="J19" s="62"/>
      <x:c r="K19" s="62"/>
      <x:c r="L19" s="62"/>
      <x:c r="M19" s="62"/>
      <x:c r="N19" s="62"/>
      <x:c r="O19" s="36"/>
      <x:c r="P19" s="36"/>
      <x:c r="Q19" s="36"/>
      <x:c r="R19" s="37"/>
    </x:row>
    <x:row r="20">
      <x:c r="A20" s="35"/>
      <x:c r="B20" s="36"/>
      <x:c r="C20" s="36"/>
      <x:c r="D20" s="36"/>
      <x:c r="E20" s="36"/>
      <x:c r="F20" s="36"/>
      <x:c r="G20" s="62"/>
      <x:c r="H20" s="62"/>
      <x:c r="I20" s="62"/>
      <x:c r="J20" s="62"/>
      <x:c r="K20" s="62"/>
      <x:c r="L20" s="62"/>
      <x:c r="M20" s="62"/>
      <x:c r="N20" s="62"/>
      <x:c r="O20" s="36"/>
      <x:c r="P20" s="36"/>
      <x:c r="Q20" s="36"/>
      <x:c r="R20" s="37"/>
    </x:row>
    <x:row r="21">
      <x:c r="A21" s="38"/>
      <x:c r="B21" s="39"/>
      <x:c r="C21" s="39"/>
      <x:c r="D21" s="39"/>
      <x:c r="E21" s="39"/>
      <x:c r="F21" s="39"/>
      <x:c r="G21" s="63"/>
      <x:c r="H21" s="63"/>
      <x:c r="I21" s="63"/>
      <x:c r="J21" s="63"/>
      <x:c r="K21" s="63"/>
      <x:c r="L21" s="63"/>
      <x:c r="M21" s="63"/>
      <x:c r="N21" s="63"/>
      <x:c r="O21" s="39"/>
      <x:c r="P21" s="39"/>
      <x:c r="Q21" s="39"/>
      <x:c r="R21" s="40"/>
    </x:row>
  </x:sheetData>
  <x:mergeCells>
    <x:mergeCell ref="A1:R1"/>
    <x:mergeCell ref="A2:R2"/>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14" hidden="0" customWidth="1"/>
    <x:col min="5" max="5" width="14" hidden="0" customWidth="1"/>
    <x:col min="6" max="6" width="14" hidden="0" customWidth="1"/>
    <x:col min="7" max="7" width="34" hidden="0" customWidth="1"/>
    <x:col min="8" max="8" width="18" hidden="0" customWidth="1"/>
    <x:col min="9" max="9" width="42" hidden="0" customWidth="1"/>
    <x:col min="10" max="10" width="18" hidden="0" customWidth="1"/>
    <x:col min="11" max="11" width="18" hidden="0" customWidth="1"/>
  </x:cols>
  <x:sheetData>
    <x:row r="1" ht="28" customHeight="1">
      <x:c r="A1" s="178" t="str">
        <x:v>05A_サイズ区間｜TWタイプ 機械判定</x:v>
      </x:c>
      <x:c r="B1" s="178"/>
      <x:c r="C1" s="178"/>
      <x:c r="D1" s="178"/>
      <x:c r="E1" s="178"/>
      <x:c r="F1" s="178"/>
      <x:c r="G1" s="178"/>
      <x:c r="H1" s="178"/>
      <x:c r="I1" s="178"/>
      <x:c r="J1" s="178"/>
      <x:c r="K1" s="178"/>
    </x:row>
    <x:row r="2" ht="36" customHeight="1">
      <x:c r="A2" s="179" t="str">
        <x:v>各size_rule_idを直接評価できるよう、把手障子・大壁和室用障子も独立行を持つ。テラス2枚建のWD&gt;2378上側境界は05Bで外部確認。</x:v>
      </x:c>
      <x:c r="B2" s="179"/>
      <x:c r="C2" s="179"/>
      <x:c r="D2" s="179"/>
      <x:c r="E2" s="179"/>
      <x:c r="F2" s="179"/>
      <x:c r="G2" s="179"/>
      <x:c r="H2" s="179"/>
      <x:c r="I2" s="179"/>
      <x:c r="J2" s="179"/>
      <x:c r="K2" s="179"/>
    </x:row>
    <x:row r="4" ht="30" customHeight="1">
      <x:c r="A4" s="181" t="str">
        <x:v>segment_id</x:v>
      </x:c>
      <x:c r="B4" s="182" t="str">
        <x:v>size_rule_id</x:v>
      </x:c>
      <x:c r="C4" s="182" t="str">
        <x:v>finished_w_min</x:v>
      </x:c>
      <x:c r="D4" s="182" t="str">
        <x:v>finished_w_max</x:v>
      </x:c>
      <x:c r="E4" s="182" t="str">
        <x:v>finished_h_min</x:v>
      </x:c>
      <x:c r="F4" s="182" t="str">
        <x:v>finished_h_max</x:v>
      </x:c>
      <x:c r="G4" s="182" t="str">
        <x:v>condition_formula</x:v>
      </x:c>
      <x:c r="H4" s="182" t="str">
        <x:v>effect</x:v>
      </x:c>
      <x:c r="I4" s="182" t="str">
        <x:v>説明</x:v>
      </x:c>
      <x:c r="J4" s="182" t="str">
        <x:v>status</x:v>
      </x:c>
      <x:c r="K4" s="183" t="str">
        <x:v>evidence</x:v>
      </x:c>
    </x:row>
    <x:row r="5">
      <x:c r="A5" s="184" t="str">
        <x:v>TW-SEG-MAD2-L</x:v>
      </x:c>
      <x:c r="B5" s="185" t="str">
        <x:v>TW-SZ-MAD2</x:v>
      </x:c>
      <x:c r="C5" s="185" t="n">
        <x:v>647</x:v>
      </x:c>
      <x:c r="D5" s="185" t="n">
        <x:v>988</x:v>
      </x:c>
      <x:c r="E5" s="185" t="n">
        <x:v>347</x:v>
      </x:c>
      <x:c r="F5" s="185" t="n">
        <x:v>1647</x:v>
      </x:c>
      <x:c r="G5" s="185" t="str">
        <x:v>HD &lt;= 1.7*(WD-17)-3</x:v>
      </x:c>
      <x:c r="H5" s="185" t="str">
        <x:v>ALLOW_IF</x:v>
      </x:c>
      <x:c r="I5" s="185" t="str">
        <x:v>左側斜線境界</x:v>
      </x:c>
      <x:c r="J5" s="185" t="str">
        <x:v>COMPLETE</x:v>
      </x:c>
      <x:c r="K5" s="186" t="str">
        <x:v>TW-EV-007</x:v>
      </x:c>
    </x:row>
    <x:row r="6">
      <x:c r="A6" s="184" t="str">
        <x:v>TW-SEG-MAD2-R</x:v>
      </x:c>
      <x:c r="B6" s="185" t="str">
        <x:v>TW-SZ-MAD2</x:v>
      </x:c>
      <x:c r="C6" s="185" t="n">
        <x:v>988</x:v>
      </x:c>
      <x:c r="D6" s="185" t="n">
        <x:v>3017</x:v>
      </x:c>
      <x:c r="E6" s="185" t="n">
        <x:v>347</x:v>
      </x:c>
      <x:c r="F6" s="185" t="n">
        <x:v>1647</x:v>
      </x:c>
      <x:c r="G6" s="185" t="str">
        <x:v>HD &lt;= 1647</x:v>
      </x:c>
      <x:c r="H6" s="185" t="str">
        <x:v>ALLOW_IF</x:v>
      </x:c>
      <x:c r="I6" s="185" t="str">
        <x:v>上限水平</x:v>
      </x:c>
      <x:c r="J6" s="185" t="str">
        <x:v>COMPLETE</x:v>
      </x:c>
      <x:c r="K6" s="186" t="str">
        <x:v>TW-EV-007</x:v>
      </x:c>
    </x:row>
    <x:row r="7">
      <x:c r="A7" s="184" t="str">
        <x:v>TW-SEG-MAD4-L</x:v>
      </x:c>
      <x:c r="B7" s="185" t="str">
        <x:v>TW-SZ-MAD4</x:v>
      </x:c>
      <x:c r="C7" s="185" t="n">
        <x:v>1394</x:v>
      </x:c>
      <x:c r="D7" s="185" t="n">
        <x:v>1959</x:v>
      </x:c>
      <x:c r="E7" s="185" t="n">
        <x:v>1167</x:v>
      </x:c>
      <x:c r="F7" s="185" t="n">
        <x:v>1647</x:v>
      </x:c>
      <x:c r="G7" s="185" t="str">
        <x:v>HD &lt;= 0.85*(WD-17)-3</x:v>
      </x:c>
      <x:c r="H7" s="185" t="str">
        <x:v>ALLOW_IF</x:v>
      </x:c>
      <x:c r="I7" s="185" t="str">
        <x:v>左側斜線境界</x:v>
      </x:c>
      <x:c r="J7" s="185" t="str">
        <x:v>COMPLETE</x:v>
      </x:c>
      <x:c r="K7" s="186" t="str">
        <x:v>TW-EV-007</x:v>
      </x:c>
    </x:row>
    <x:row r="8">
      <x:c r="A8" s="184" t="str">
        <x:v>TW-SEG-MAD4-R</x:v>
      </x:c>
      <x:c r="B8" s="185" t="str">
        <x:v>TW-SZ-MAD4</x:v>
      </x:c>
      <x:c r="C8" s="185" t="n">
        <x:v>1959</x:v>
      </x:c>
      <x:c r="D8" s="185" t="n">
        <x:v>4017</x:v>
      </x:c>
      <x:c r="E8" s="185" t="n">
        <x:v>1167</x:v>
      </x:c>
      <x:c r="F8" s="185" t="n">
        <x:v>1647</x:v>
      </x:c>
      <x:c r="G8" s="185" t="str">
        <x:v>HD &lt;= 1647</x:v>
      </x:c>
      <x:c r="H8" s="185" t="str">
        <x:v>ALLOW_IF</x:v>
      </x:c>
      <x:c r="I8" s="185" t="str">
        <x:v>上限水平</x:v>
      </x:c>
      <x:c r="J8" s="185" t="str">
        <x:v>COMPLETE</x:v>
      </x:c>
      <x:c r="K8" s="186" t="str">
        <x:v>TW-EV-007</x:v>
      </x:c>
    </x:row>
    <x:row r="9">
      <x:c r="A9" s="184" t="str">
        <x:v>TW-SEG-TER2TG-L</x:v>
      </x:c>
      <x:c r="B9" s="185" t="str">
        <x:v>TW-SZ-TER2-TG</x:v>
      </x:c>
      <x:c r="C9" s="185" t="n">
        <x:v>977</x:v>
      </x:c>
      <x:c r="D9" s="185" t="n">
        <x:v>1401</x:v>
      </x:c>
      <x:c r="E9" s="185" t="n">
        <x:v>1547</x:v>
      </x:c>
      <x:c r="F9" s="185" t="n">
        <x:v>2527</x:v>
      </x:c>
      <x:c r="G9" s="185" t="str">
        <x:v>HD &lt;= 1.8*(WD-17)+37</x:v>
      </x:c>
      <x:c r="H9" s="185" t="str">
        <x:v>ALLOW_IF</x:v>
      </x:c>
      <x:c r="I9" s="185" t="str">
        <x:v>左上斜線境界</x:v>
      </x:c>
      <x:c r="J9" s="185" t="str">
        <x:v>COMPLETE</x:v>
      </x:c>
      <x:c r="K9" s="186" t="str">
        <x:v>TW-EV-007</x:v>
      </x:c>
    </x:row>
    <x:row r="10">
      <x:c r="A10" s="184" t="str">
        <x:v>TW-SEG-TER2TG-M</x:v>
      </x:c>
      <x:c r="B10" s="185" t="str">
        <x:v>TW-SZ-TER2-TG</x:v>
      </x:c>
      <x:c r="C10" s="185" t="n">
        <x:v>1401</x:v>
      </x:c>
      <x:c r="D10" s="185" t="n">
        <x:v>2378</x:v>
      </x:c>
      <x:c r="E10" s="185" t="n">
        <x:v>1547</x:v>
      </x:c>
      <x:c r="F10" s="185" t="n">
        <x:v>2527</x:v>
      </x:c>
      <x:c r="G10" s="185" t="str">
        <x:v>HD &lt;= 2527</x:v>
      </x:c>
      <x:c r="H10" s="185" t="str">
        <x:v>ALLOW_IF</x:v>
      </x:c>
      <x:c r="I10" s="185" t="str">
        <x:v>中央上限水平</x:v>
      </x:c>
      <x:c r="J10" s="185" t="str">
        <x:v>COMPLETE</x:v>
      </x:c>
      <x:c r="K10" s="186" t="str">
        <x:v>TW-EV-007</x:v>
      </x:c>
    </x:row>
    <x:row r="11">
      <x:c r="A11" s="184" t="str">
        <x:v>TW-SEG-TER2HD-L</x:v>
      </x:c>
      <x:c r="B11" s="185" t="str">
        <x:v>TW-SZ-TER2-HANDLE</x:v>
      </x:c>
      <x:c r="C11" s="185" t="n">
        <x:v>977</x:v>
      </x:c>
      <x:c r="D11" s="185" t="n">
        <x:v>1401</x:v>
      </x:c>
      <x:c r="E11" s="185" t="n">
        <x:v>1547</x:v>
      </x:c>
      <x:c r="F11" s="185" t="n">
        <x:v>2527</x:v>
      </x:c>
      <x:c r="G11" s="185" t="str">
        <x:v>HD &lt;= 1.8*(WD-17)+37</x:v>
      </x:c>
      <x:c r="H11" s="185" t="str">
        <x:v>ALLOW_IF</x:v>
      </x:c>
      <x:c r="I11" s="185" t="str">
        <x:v>左上斜線境界</x:v>
      </x:c>
      <x:c r="J11" s="185" t="str">
        <x:v>COMPLETE</x:v>
      </x:c>
      <x:c r="K11" s="186" t="str">
        <x:v>TW-EV-007</x:v>
      </x:c>
    </x:row>
    <x:row r="12">
      <x:c r="A12" s="184" t="str">
        <x:v>TW-SEG-TER2HD-M</x:v>
      </x:c>
      <x:c r="B12" s="185" t="str">
        <x:v>TW-SZ-TER2-HANDLE</x:v>
      </x:c>
      <x:c r="C12" s="185" t="n">
        <x:v>1401</x:v>
      </x:c>
      <x:c r="D12" s="185" t="n">
        <x:v>2378</x:v>
      </x:c>
      <x:c r="E12" s="185" t="n">
        <x:v>1547</x:v>
      </x:c>
      <x:c r="F12" s="185" t="n">
        <x:v>2527</x:v>
      </x:c>
      <x:c r="G12" s="185" t="str">
        <x:v>HD &lt;= 2527</x:v>
      </x:c>
      <x:c r="H12" s="185" t="str">
        <x:v>ALLOW_IF</x:v>
      </x:c>
      <x:c r="I12" s="185" t="str">
        <x:v>中央上限水平</x:v>
      </x:c>
      <x:c r="J12" s="185" t="str">
        <x:v>COMPLETE</x:v>
      </x:c>
      <x:c r="K12" s="186" t="str">
        <x:v>TW-EV-007</x:v>
      </x:c>
    </x:row>
    <x:row r="13">
      <x:c r="A13" s="184" t="str">
        <x:v>TW-SEG-TER2WA-L</x:v>
      </x:c>
      <x:c r="B13" s="185" t="str">
        <x:v>TW-SZ-TER2-WASHI</x:v>
      </x:c>
      <x:c r="C13" s="185" t="n">
        <x:v>977</x:v>
      </x:c>
      <x:c r="D13" s="185" t="n">
        <x:v>1401</x:v>
      </x:c>
      <x:c r="E13" s="185" t="n">
        <x:v>1547</x:v>
      </x:c>
      <x:c r="F13" s="185" t="n">
        <x:v>2527</x:v>
      </x:c>
      <x:c r="G13" s="185" t="str">
        <x:v>HD &lt;= 1.8*(WD-17)+37</x:v>
      </x:c>
      <x:c r="H13" s="185" t="str">
        <x:v>ALLOW_IF</x:v>
      </x:c>
      <x:c r="I13" s="185" t="str">
        <x:v>左上斜線境界</x:v>
      </x:c>
      <x:c r="J13" s="185" t="str">
        <x:v>COMPLETE</x:v>
      </x:c>
      <x:c r="K13" s="186" t="str">
        <x:v>TW-EV-007</x:v>
      </x:c>
    </x:row>
    <x:row r="14">
      <x:c r="A14" s="184" t="str">
        <x:v>TW-SEG-TER2WA-M</x:v>
      </x:c>
      <x:c r="B14" s="185" t="str">
        <x:v>TW-SZ-TER2-WASHI</x:v>
      </x:c>
      <x:c r="C14" s="185" t="n">
        <x:v>1401</x:v>
      </x:c>
      <x:c r="D14" s="185" t="n">
        <x:v>2378</x:v>
      </x:c>
      <x:c r="E14" s="185" t="n">
        <x:v>1547</x:v>
      </x:c>
      <x:c r="F14" s="185" t="n">
        <x:v>2527</x:v>
      </x:c>
      <x:c r="G14" s="185" t="str">
        <x:v>HD &lt;= 2527</x:v>
      </x:c>
      <x:c r="H14" s="185" t="str">
        <x:v>ALLOW_IF</x:v>
      </x:c>
      <x:c r="I14" s="185" t="str">
        <x:v>中央上限水平</x:v>
      </x:c>
      <x:c r="J14" s="185" t="str">
        <x:v>COMPLETE</x:v>
      </x:c>
      <x:c r="K14" s="186" t="str">
        <x:v>TW-EV-007</x:v>
      </x:c>
    </x:row>
    <x:row r="15">
      <x:c r="A15" s="184" t="str">
        <x:v>TW-SEG-TER4TG-L</x:v>
      </x:c>
      <x:c r="B15" s="185" t="str">
        <x:v>TW-SZ-TER4-TG</x:v>
      </x:c>
      <x:c r="C15" s="185" t="n">
        <x:v>1897</x:v>
      </x:c>
      <x:c r="D15" s="185" t="n">
        <x:v>2398</x:v>
      </x:c>
      <x:c r="E15" s="185" t="n">
        <x:v>1547</x:v>
      </x:c>
      <x:c r="F15" s="185" t="n">
        <x:v>2527</x:v>
      </x:c>
      <x:c r="G15" s="185" t="str">
        <x:v>HD &lt;= 1.05*(WD-17)+37</x:v>
      </x:c>
      <x:c r="H15" s="185" t="str">
        <x:v>ALLOW_IF</x:v>
      </x:c>
      <x:c r="I15" s="185" t="str">
        <x:v>左上斜線境界</x:v>
      </x:c>
      <x:c r="J15" s="185" t="str">
        <x:v>COMPLETE</x:v>
      </x:c>
      <x:c r="K15" s="186" t="str">
        <x:v>TW-EV-007</x:v>
      </x:c>
    </x:row>
    <x:row r="16">
      <x:c r="A16" s="184" t="str">
        <x:v>TW-SEG-TER4TG-R</x:v>
      </x:c>
      <x:c r="B16" s="185" t="str">
        <x:v>TW-SZ-TER4-TG</x:v>
      </x:c>
      <x:c r="C16" s="185" t="n">
        <x:v>2398</x:v>
      </x:c>
      <x:c r="D16" s="185" t="n">
        <x:v>4017</x:v>
      </x:c>
      <x:c r="E16" s="185" t="n">
        <x:v>1547</x:v>
      </x:c>
      <x:c r="F16" s="185" t="n">
        <x:v>2527</x:v>
      </x:c>
      <x:c r="G16" s="185" t="str">
        <x:v>HD &lt;= 2527</x:v>
      </x:c>
      <x:c r="H16" s="185" t="str">
        <x:v>ALLOW_IF</x:v>
      </x:c>
      <x:c r="I16" s="185" t="str">
        <x:v>上限水平</x:v>
      </x:c>
      <x:c r="J16" s="185" t="str">
        <x:v>COMPLETE</x:v>
      </x:c>
      <x:c r="K16" s="186" t="str">
        <x:v>TW-EV-007</x:v>
      </x:c>
    </x:row>
    <x:row r="17">
      <x:c r="A17" s="184" t="str">
        <x:v>TW-SEG-TER4HD-L</x:v>
      </x:c>
      <x:c r="B17" s="185" t="str">
        <x:v>TW-SZ-TER4-HANDLE</x:v>
      </x:c>
      <x:c r="C17" s="185" t="n">
        <x:v>1897</x:v>
      </x:c>
      <x:c r="D17" s="185" t="n">
        <x:v>2398</x:v>
      </x:c>
      <x:c r="E17" s="185" t="n">
        <x:v>1547</x:v>
      </x:c>
      <x:c r="F17" s="185" t="n">
        <x:v>2527</x:v>
      </x:c>
      <x:c r="G17" s="185" t="str">
        <x:v>HD &lt;= 1.05*(WD-17)+37</x:v>
      </x:c>
      <x:c r="H17" s="185" t="str">
        <x:v>ALLOW_IF</x:v>
      </x:c>
      <x:c r="I17" s="185" t="str">
        <x:v>左上斜線境界</x:v>
      </x:c>
      <x:c r="J17" s="185" t="str">
        <x:v>COMPLETE</x:v>
      </x:c>
      <x:c r="K17" s="186" t="str">
        <x:v>TW-EV-007</x:v>
      </x:c>
    </x:row>
    <x:row r="18">
      <x:c r="A18" s="187" t="str">
        <x:v>TW-SEG-TER4HD-R</x:v>
      </x:c>
      <x:c r="B18" s="188" t="str">
        <x:v>TW-SZ-TER4-HANDLE</x:v>
      </x:c>
      <x:c r="C18" s="188" t="n">
        <x:v>2398</x:v>
      </x:c>
      <x:c r="D18" s="188" t="n">
        <x:v>4017</x:v>
      </x:c>
      <x:c r="E18" s="188" t="n">
        <x:v>1547</x:v>
      </x:c>
      <x:c r="F18" s="188" t="n">
        <x:v>2527</x:v>
      </x:c>
      <x:c r="G18" s="188" t="str">
        <x:v>HD &lt;= 2527</x:v>
      </x:c>
      <x:c r="H18" s="188" t="str">
        <x:v>ALLOW_IF</x:v>
      </x:c>
      <x:c r="I18" s="188" t="str">
        <x:v>上限水平</x:v>
      </x:c>
      <x:c r="J18" s="188" t="str">
        <x:v>COMPLETE</x:v>
      </x:c>
      <x:c r="K18" s="189" t="str">
        <x:v>TW-EV-007</x:v>
      </x:c>
    </x:row>
  </x:sheetData>
  <x:mergeCells>
    <x:mergeCell ref="A1:J1"/>
    <x:mergeCell ref="A2:J2"/>
    <x:mergeCell ref="A1:K1"/>
    <x:mergeCell ref="A2:K2"/>
  </x:mergeCell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34" hidden="0" customWidth="1"/>
    <x:col min="3" max="3" width="22" hidden="0" customWidth="1"/>
    <x:col min="4" max="4" width="34" hidden="0" customWidth="1"/>
    <x:col min="5" max="5" width="34" hidden="0" customWidth="1"/>
    <x:col min="6" max="6" width="24" hidden="0" customWidth="1"/>
    <x:col min="7" max="7" width="70" hidden="0" customWidth="1"/>
    <x:col min="8" max="8" width="30" hidden="0" customWidth="1"/>
    <x:col min="9" max="9" width="20" hidden="0" customWidth="1"/>
  </x:cols>
  <x:sheetData>
    <x:row r="1" ht="28" customHeight="1">
      <x:c r="A1" s="178" t="str">
        <x:v>05B_境界ルール｜TWタイプ 特殊境界</x:v>
      </x:c>
      <x:c r="B1" s="178"/>
      <x:c r="C1" s="178"/>
      <x:c r="D1" s="178"/>
      <x:c r="E1" s="178"/>
      <x:c r="F1" s="178"/>
      <x:c r="G1" s="178"/>
      <x:c r="H1" s="178"/>
      <x:c r="I1" s="178"/>
    </x:row>
    <x:row r="2" ht="34" customHeight="1">
      <x:c r="A2" s="11"/>
      <x:c r="B2" s="11"/>
      <x:c r="C2" s="11"/>
      <x:c r="D2" s="11"/>
      <x:c r="E2" s="11"/>
      <x:c r="F2" s="11"/>
      <x:c r="G2" s="11"/>
      <x:c r="H2" s="11"/>
    </x:row>
    <x:row r="3">
      <x:c r="A3" s="181" t="str">
        <x:v>boundary_rule_id</x:v>
      </x:c>
      <x:c r="B3" s="182" t="str">
        <x:v>size_rule_scope</x:v>
      </x:c>
      <x:c r="C3" s="182" t="str">
        <x:v>boundary_type</x:v>
      </x:c>
      <x:c r="D3" s="182" t="str">
        <x:v>official_formula</x:v>
      </x:c>
      <x:c r="E3" s="182" t="str">
        <x:v>scope</x:v>
      </x:c>
      <x:c r="F3" s="182" t="str">
        <x:v>auto_mode</x:v>
      </x:c>
      <x:c r="G3" s="182" t="str">
        <x:v>判定メモ</x:v>
      </x:c>
      <x:c r="H3" s="182" t="str">
        <x:v>status</x:v>
      </x:c>
      <x:c r="I3" s="183" t="str">
        <x:v>evidence</x:v>
      </x:c>
    </x:row>
    <x:row r="4" ht="30" customHeight="1">
      <x:c r="A4" s="196" t="str">
        <x:v>TW-BR-MAD2</x:v>
      </x:c>
      <x:c r="B4" s="208" t="str">
        <x:v>TW-SZ-MAD2</x:v>
      </x:c>
      <x:c r="C4" s="208" t="str">
        <x:v>FORMULA</x:v>
      </x:c>
      <x:c r="D4" s="208" t="str">
        <x:v>(HD+3)/(WD-17)=1.7</x:v>
      </x:c>
      <x:c r="E4" s="208" t="str">
        <x:v>WD 647～988</x:v>
      </x:c>
      <x:c r="F4" s="208" t="str">
        <x:v>AUTO</x:v>
      </x:c>
      <x:c r="G4" s="208" t="str">
        <x:v>境界式で直接比較</x:v>
      </x:c>
      <x:c r="H4" s="208" t="str">
        <x:v>COMPLETE</x:v>
      </x:c>
      <x:c r="I4" s="186" t="str">
        <x:v>TW-EV-007</x:v>
      </x:c>
    </x:row>
    <x:row r="5">
      <x:c r="A5" s="184" t="str">
        <x:v>TW-BR-MAD4</x:v>
      </x:c>
      <x:c r="B5" s="185" t="str">
        <x:v>TW-SZ-MAD4</x:v>
      </x:c>
      <x:c r="C5" s="185" t="str">
        <x:v>FORMULA</x:v>
      </x:c>
      <x:c r="D5" s="185" t="str">
        <x:v>(HD+3)/(WD-17)=0.85</x:v>
      </x:c>
      <x:c r="E5" s="185" t="str">
        <x:v>WD 1394～1959</x:v>
      </x:c>
      <x:c r="F5" s="185" t="str">
        <x:v>AUTO</x:v>
      </x:c>
      <x:c r="G5" s="185" t="str">
        <x:v>境界式で直接比較</x:v>
      </x:c>
      <x:c r="H5" s="185" t="str">
        <x:v>COMPLETE</x:v>
      </x:c>
      <x:c r="I5" s="186" t="str">
        <x:v>TW-EV-007</x:v>
      </x:c>
    </x:row>
    <x:row r="6">
      <x:c r="A6" s="184" t="str">
        <x:v>TW-BR-TER2</x:v>
      </x:c>
      <x:c r="B6" s="185" t="str">
        <x:v>TW-SZ-TER2-TG / HANDLE / WASHI</x:v>
      </x:c>
      <x:c r="C6" s="185" t="str">
        <x:v>FORMULA+GRAPHIC</x:v>
      </x:c>
      <x:c r="D6" s="185" t="str">
        <x:v>(HD-37)/(WD-17)=1.8</x:v>
      </x:c>
      <x:c r="E6" s="185" t="str">
        <x:v>左側はAUTO、右上は外部確認</x:v>
      </x:c>
      <x:c r="F6" s="185" t="str">
        <x:v>MIXED</x:v>
      </x:c>
      <x:c r="G6" s="185" t="str">
        <x:v>WD&gt;2378の上側曲線/斜線は式を作らない</x:v>
      </x:c>
      <x:c r="H6" s="185" t="str">
        <x:v>COMPLETE_WITH_EXTERNAL_CHECK</x:v>
      </x:c>
      <x:c r="I6" s="186" t="str">
        <x:v>TW-EV-007</x:v>
      </x:c>
    </x:row>
    <x:row r="7">
      <x:c r="A7" s="184" t="str">
        <x:v>TW-BR-TER4</x:v>
      </x:c>
      <x:c r="B7" s="185" t="str">
        <x:v>TW-SZ-TER4-TG / HANDLE</x:v>
      </x:c>
      <x:c r="C7" s="185" t="str">
        <x:v>FORMULA</x:v>
      </x:c>
      <x:c r="D7" s="185" t="str">
        <x:v>(HD-37)/(WD-17)=1.05</x:v>
      </x:c>
      <x:c r="E7" s="185" t="str">
        <x:v>WD 1897～2398</x:v>
      </x:c>
      <x:c r="F7" s="185" t="str">
        <x:v>AUTO</x:v>
      </x:c>
      <x:c r="G7" s="185" t="str">
        <x:v>境界式で直接比較</x:v>
      </x:c>
      <x:c r="H7" s="185" t="str">
        <x:v>COMPLETE</x:v>
      </x:c>
      <x:c r="I7" s="186" t="str">
        <x:v>TW-EV-007</x:v>
      </x:c>
    </x:row>
    <x:row r="8">
      <x:c r="A8" s="184" t="str">
        <x:v>TW-BR-INNERFIT</x:v>
      </x:c>
      <x:c r="B8" s="185" t="str">
        <x:v>ALL</x:v>
      </x:c>
      <x:c r="C8" s="185" t="str">
        <x:v>GRAPHIC_SHADE</x:v>
      </x:c>
      <x:c r="D8" s="185" t="str">
        <x:v>寸法特注範囲図の網掛け</x:v>
      </x:c>
      <x:c r="E8" s="185" t="str">
        <x:v>内嵌め用製作範囲</x:v>
      </x:c>
      <x:c r="F8" s="185" t="str">
        <x:v>EXTERNAL_CHECK</x:v>
      </x:c>
      <x:c r="G8" s="185" t="str">
        <x:v>細部ポリゴンを推測しない</x:v>
      </x:c>
      <x:c r="H8" s="185" t="str">
        <x:v>COMPLETE_WITH_EXTERNAL_CHECK</x:v>
      </x:c>
      <x:c r="I8" s="186" t="str">
        <x:v>TW-EV-007</x:v>
      </x:c>
    </x:row>
    <x:row r="9">
      <x:c r="A9" s="184" t="str">
        <x:v>TW-BR-GLASS</x:v>
      </x:c>
      <x:c r="B9" s="185" t="str">
        <x:v>ALL</x:v>
      </x:c>
      <x:c r="C9" s="185" t="str">
        <x:v>GLASS_AREA/ROLLER_LOAD</x:v>
      </x:c>
      <x:c r="D9" s="185" t="str">
        <x:v>公式ガラス面積・戸車耐荷重表</x:v>
      </x:c>
      <x:c r="E9" s="185" t="str">
        <x:v>ガラス構成依存</x:v>
      </x:c>
      <x:c r="F9" s="185" t="str">
        <x:v>EXTERNAL_CHECK</x:v>
      </x:c>
      <x:c r="G9" s="185" t="str">
        <x:v>通常見積では特殊案件のみ確認</x:v>
      </x:c>
      <x:c r="H9" s="185" t="str">
        <x:v>COMPLETE_WITH_EXTERNAL_CHECK</x:v>
      </x:c>
      <x:c r="I9" s="186" t="str">
        <x:v>TW-EV-012</x:v>
      </x:c>
    </x:row>
    <x:row r="10">
      <x:c r="A10" s="187" t="str">
        <x:v>TW-BR-WIND</x:v>
      </x:c>
      <x:c r="B10" s="188" t="str">
        <x:v>ALL</x:v>
      </x:c>
      <x:c r="C10" s="188" t="str">
        <x:v>WIND_PRESSURE</x:v>
      </x:c>
      <x:c r="D10" s="188" t="str">
        <x:v>S-1以上の寸法特注範囲</x:v>
      </x:c>
      <x:c r="E10" s="188" t="str">
        <x:v>耐風圧依存</x:v>
      </x:c>
      <x:c r="F10" s="188" t="str">
        <x:v>EXTERNAL_CHECK</x:v>
      </x:c>
      <x:c r="G10" s="188" t="str">
        <x:v>要求耐風圧等級は通常UI入力にしない</x:v>
      </x:c>
      <x:c r="H10" s="188" t="str">
        <x:v>COMPLETE_WITH_EXTERNAL_CHECK</x:v>
      </x:c>
      <x:c r="I10" s="189" t="str">
        <x:v>TW-EV-001,007</x:v>
      </x:c>
    </x:row>
    <x:row r="11">
      <x:c r="A11" s="35"/>
      <x:c r="B11" s="36"/>
      <x:c r="C11" s="36"/>
      <x:c r="D11" s="36"/>
      <x:c r="E11" s="36"/>
      <x:c r="F11" s="36"/>
      <x:c r="G11" s="36"/>
      <x:c r="H11" s="37"/>
    </x:row>
    <x:row r="12">
      <x:c r="A12" s="35"/>
      <x:c r="B12" s="36"/>
      <x:c r="C12" s="36"/>
      <x:c r="D12" s="36"/>
      <x:c r="E12" s="36"/>
      <x:c r="F12" s="36"/>
      <x:c r="G12" s="36"/>
      <x:c r="H12" s="37"/>
    </x:row>
    <x:row r="13">
      <x:c r="A13" s="35"/>
      <x:c r="B13" s="36"/>
      <x:c r="C13" s="36"/>
      <x:c r="D13" s="36"/>
      <x:c r="E13" s="36"/>
      <x:c r="F13" s="36"/>
      <x:c r="G13" s="36"/>
      <x:c r="H13" s="37"/>
    </x:row>
    <x:row r="14">
      <x:c r="A14" s="35"/>
      <x:c r="B14" s="36"/>
      <x:c r="C14" s="36"/>
      <x:c r="D14" s="36"/>
      <x:c r="E14" s="36"/>
      <x:c r="F14" s="36"/>
      <x:c r="G14" s="36"/>
      <x:c r="H14" s="37"/>
    </x:row>
    <x:row r="15">
      <x:c r="A15" s="35"/>
      <x:c r="B15" s="36"/>
      <x:c r="C15" s="36"/>
      <x:c r="D15" s="36"/>
      <x:c r="E15" s="36"/>
      <x:c r="F15" s="36"/>
      <x:c r="G15" s="36"/>
      <x:c r="H15" s="37"/>
    </x:row>
    <x:row r="16">
      <x:c r="A16" s="38"/>
      <x:c r="B16" s="39"/>
      <x:c r="C16" s="39"/>
      <x:c r="D16" s="39"/>
      <x:c r="E16" s="39"/>
      <x:c r="F16" s="39"/>
      <x:c r="G16" s="39"/>
      <x:c r="H16" s="40"/>
    </x:row>
  </x:sheetData>
  <x:mergeCells>
    <x:mergeCell ref="A1:H1"/>
    <x:mergeCell ref="A2:H2"/>
    <x:mergeCell ref="A1:I1"/>
  </x:mergeCells>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26" hidden="0" customWidth="1"/>
    <x:col min="3" max="3" width="12" hidden="0" customWidth="1"/>
    <x:col min="4" max="4" width="30" hidden="0" customWidth="1"/>
    <x:col min="5" max="5" width="14" hidden="0" customWidth="1"/>
    <x:col min="6" max="6" width="28" hidden="0" customWidth="1"/>
    <x:col min="7" max="7" width="18" hidden="0" customWidth="1"/>
    <x:col min="8" max="8" width="20" hidden="0" customWidth="1"/>
  </x:cols>
  <x:sheetData>
    <x:row r="1" ht="28" customHeight="1">
      <x:c r="A1" s="178" t="str">
        <x:v>06_色｜TWタイプ</x:v>
      </x:c>
      <x:c r="B1" s="178"/>
      <x:c r="C1" s="178"/>
      <x:c r="D1" s="178"/>
      <x:c r="E1" s="178"/>
      <x:c r="F1" s="178"/>
      <x:c r="G1" s="178"/>
      <x:c r="H1" s="178"/>
    </x:row>
    <x:row r="3" ht="30" customHeight="1">
      <x:c r="A3" s="181" t="str">
        <x:v>color_id</x:v>
      </x:c>
      <x:c r="B3" s="182" t="str">
        <x:v>color_role</x:v>
      </x:c>
      <x:c r="C3" s="182" t="str">
        <x:v>code</x:v>
      </x:c>
      <x:c r="D3" s="182" t="str">
        <x:v>正式名称</x:v>
      </x:c>
      <x:c r="E3" s="182" t="str">
        <x:v>color_mode</x:v>
      </x:c>
      <x:c r="F3" s="182" t="str">
        <x:v>対象部位</x:v>
      </x:c>
      <x:c r="G3" s="182" t="str">
        <x:v>status</x:v>
      </x:c>
      <x:c r="H3" s="183" t="str">
        <x:v>evidence</x:v>
      </x:c>
    </x:row>
    <x:row r="4">
      <x:c r="A4" s="184" t="str">
        <x:v>TW-COL-EXT-T</x:v>
      </x:c>
      <x:c r="B4" s="185" t="str">
        <x:v>sash_exterior_color</x:v>
      </x:c>
      <x:c r="C4" s="185" t="str">
        <x:v>T</x:v>
      </x:c>
      <x:c r="D4" s="185" t="str">
        <x:v>ブラック</x:v>
      </x:c>
      <x:c r="E4" s="185" t="str">
        <x:v>ALL</x:v>
      </x:c>
      <x:c r="F4" s="185" t="str">
        <x:v>サッシ外観色</x:v>
      </x:c>
      <x:c r="G4" s="185" t="str">
        <x:v>COMPLETE</x:v>
      </x:c>
      <x:c r="H4" s="186" t="str">
        <x:v>TW-EV-003,004</x:v>
      </x:c>
    </x:row>
    <x:row r="5">
      <x:c r="A5" s="184" t="str">
        <x:v>TW-COL-COV-T</x:v>
      </x:c>
      <x:c r="B5" s="185" t="str">
        <x:v>exterior_cover_color</x:v>
      </x:c>
      <x:c r="C5" s="185" t="str">
        <x:v>T</x:v>
      </x:c>
      <x:c r="D5" s="185" t="str">
        <x:v>ブラック</x:v>
      </x:c>
      <x:c r="E5" s="185" t="str">
        <x:v>ALL</x:v>
      </x:c>
      <x:c r="F5" s="185" t="str">
        <x:v>化粧カバー</x:v>
      </x:c>
      <x:c r="G5" s="185" t="str">
        <x:v>COMPLETE</x:v>
      </x:c>
      <x:c r="H5" s="186" t="str">
        <x:v>TW-EV-003,004</x:v>
      </x:c>
    </x:row>
    <x:row r="6">
      <x:c r="A6" s="184" t="str">
        <x:v>TW-COL-EXT-G</x:v>
      </x:c>
      <x:c r="B6" s="185" t="str">
        <x:v>sash_exterior_color</x:v>
      </x:c>
      <x:c r="C6" s="185" t="str">
        <x:v>G</x:v>
      </x:c>
      <x:c r="D6" s="185" t="str">
        <x:v>オータムブラウン</x:v>
      </x:c>
      <x:c r="E6" s="185" t="str">
        <x:v>ALL</x:v>
      </x:c>
      <x:c r="F6" s="185" t="str">
        <x:v>サッシ外観色</x:v>
      </x:c>
      <x:c r="G6" s="185" t="str">
        <x:v>COMPLETE</x:v>
      </x:c>
      <x:c r="H6" s="186" t="str">
        <x:v>TW-EV-003,004</x:v>
      </x:c>
    </x:row>
    <x:row r="7">
      <x:c r="A7" s="184" t="str">
        <x:v>TW-COL-COV-G</x:v>
      </x:c>
      <x:c r="B7" s="185" t="str">
        <x:v>exterior_cover_color</x:v>
      </x:c>
      <x:c r="C7" s="185" t="str">
        <x:v>G</x:v>
      </x:c>
      <x:c r="D7" s="185" t="str">
        <x:v>オータムブラウン</x:v>
      </x:c>
      <x:c r="E7" s="185" t="str">
        <x:v>ALL</x:v>
      </x:c>
      <x:c r="F7" s="185" t="str">
        <x:v>化粧カバー</x:v>
      </x:c>
      <x:c r="G7" s="185" t="str">
        <x:v>COMPLETE</x:v>
      </x:c>
      <x:c r="H7" s="186" t="str">
        <x:v>TW-EV-003,004</x:v>
      </x:c>
    </x:row>
    <x:row r="8">
      <x:c r="A8" s="184" t="str">
        <x:v>TW-COL-EXT-K</x:v>
      </x:c>
      <x:c r="B8" s="185" t="str">
        <x:v>sash_exterior_color</x:v>
      </x:c>
      <x:c r="C8" s="185" t="str">
        <x:v>K</x:v>
      </x:c>
      <x:c r="D8" s="185" t="str">
        <x:v>シャイングレー</x:v>
      </x:c>
      <x:c r="E8" s="185" t="str">
        <x:v>ALL</x:v>
      </x:c>
      <x:c r="F8" s="185" t="str">
        <x:v>サッシ外観色</x:v>
      </x:c>
      <x:c r="G8" s="185" t="str">
        <x:v>COMPLETE</x:v>
      </x:c>
      <x:c r="H8" s="186" t="str">
        <x:v>TW-EV-003,004</x:v>
      </x:c>
    </x:row>
    <x:row r="9">
      <x:c r="A9" s="184" t="str">
        <x:v>TW-COL-COV-K</x:v>
      </x:c>
      <x:c r="B9" s="185" t="str">
        <x:v>exterior_cover_color</x:v>
      </x:c>
      <x:c r="C9" s="185" t="str">
        <x:v>K</x:v>
      </x:c>
      <x:c r="D9" s="185" t="str">
        <x:v>シャイングレー</x:v>
      </x:c>
      <x:c r="E9" s="185" t="str">
        <x:v>ALL</x:v>
      </x:c>
      <x:c r="F9" s="185" t="str">
        <x:v>化粧カバー</x:v>
      </x:c>
      <x:c r="G9" s="185" t="str">
        <x:v>COMPLETE</x:v>
      </x:c>
      <x:c r="H9" s="186" t="str">
        <x:v>TW-EV-003,004</x:v>
      </x:c>
    </x:row>
    <x:row r="10">
      <x:c r="A10" s="184" t="str">
        <x:v>TW-COL-EXT-D</x:v>
      </x:c>
      <x:c r="B10" s="185" t="str">
        <x:v>sash_exterior_color</x:v>
      </x:c>
      <x:c r="C10" s="185" t="str">
        <x:v>D</x:v>
      </x:c>
      <x:c r="D10" s="185" t="str">
        <x:v>ナチュラルシルバー</x:v>
      </x:c>
      <x:c r="E10" s="185" t="str">
        <x:v>ALL</x:v>
      </x:c>
      <x:c r="F10" s="185" t="str">
        <x:v>サッシ外観色</x:v>
      </x:c>
      <x:c r="G10" s="185" t="str">
        <x:v>COMPLETE</x:v>
      </x:c>
      <x:c r="H10" s="186" t="str">
        <x:v>TW-EV-003,004</x:v>
      </x:c>
    </x:row>
    <x:row r="11">
      <x:c r="A11" s="184" t="str">
        <x:v>TW-COL-COV-D</x:v>
      </x:c>
      <x:c r="B11" s="185" t="str">
        <x:v>exterior_cover_color</x:v>
      </x:c>
      <x:c r="C11" s="185" t="str">
        <x:v>D</x:v>
      </x:c>
      <x:c r="D11" s="185" t="str">
        <x:v>ナチュラルシルバー</x:v>
      </x:c>
      <x:c r="E11" s="185" t="str">
        <x:v>ALL</x:v>
      </x:c>
      <x:c r="F11" s="185" t="str">
        <x:v>化粧カバー</x:v>
      </x:c>
      <x:c r="G11" s="185" t="str">
        <x:v>COMPLETE</x:v>
      </x:c>
      <x:c r="H11" s="186" t="str">
        <x:v>TW-EV-003,004</x:v>
      </x:c>
    </x:row>
    <x:row r="12">
      <x:c r="A12" s="184" t="str">
        <x:v>TW-COL-EXT-W</x:v>
      </x:c>
      <x:c r="B12" s="185" t="str">
        <x:v>sash_exterior_color</x:v>
      </x:c>
      <x:c r="C12" s="185" t="str">
        <x:v>W</x:v>
      </x:c>
      <x:c r="D12" s="185" t="str">
        <x:v>ホワイト</x:v>
      </x:c>
      <x:c r="E12" s="185" t="str">
        <x:v>ALL</x:v>
      </x:c>
      <x:c r="F12" s="185" t="str">
        <x:v>サッシ外観色</x:v>
      </x:c>
      <x:c r="G12" s="185" t="str">
        <x:v>COMPLETE</x:v>
      </x:c>
      <x:c r="H12" s="186" t="str">
        <x:v>TW-EV-003,004</x:v>
      </x:c>
    </x:row>
    <x:row r="13">
      <x:c r="A13" s="184" t="str">
        <x:v>TW-COL-COV-W</x:v>
      </x:c>
      <x:c r="B13" s="185" t="str">
        <x:v>exterior_cover_color</x:v>
      </x:c>
      <x:c r="C13" s="185" t="str">
        <x:v>W</x:v>
      </x:c>
      <x:c r="D13" s="185" t="str">
        <x:v>ホワイト</x:v>
      </x:c>
      <x:c r="E13" s="185" t="str">
        <x:v>ALL</x:v>
      </x:c>
      <x:c r="F13" s="185" t="str">
        <x:v>化粧カバー</x:v>
      </x:c>
      <x:c r="G13" s="185" t="str">
        <x:v>COMPLETE</x:v>
      </x:c>
      <x:c r="H13" s="186" t="str">
        <x:v>TW-EV-003,004</x:v>
      </x:c>
    </x:row>
    <x:row r="14">
      <x:c r="A14" s="184" t="str">
        <x:v>TW-COL-INT-M</x:v>
      </x:c>
      <x:c r="B14" s="185" t="str">
        <x:v>sash_interior_color</x:v>
      </x:c>
      <x:c r="C14" s="185" t="str">
        <x:v>M</x:v>
      </x:c>
      <x:c r="D14" s="185" t="str">
        <x:v>ブラック</x:v>
      </x:c>
      <x:c r="E14" s="185" t="str">
        <x:v>FREE</x:v>
      </x:c>
      <x:c r="F14" s="185" t="str">
        <x:v>サッシ内観色</x:v>
      </x:c>
      <x:c r="G14" s="185" t="str">
        <x:v>COMPLETE</x:v>
      </x:c>
      <x:c r="H14" s="186" t="str">
        <x:v>TW-EV-003,004</x:v>
      </x:c>
    </x:row>
    <x:row r="15">
      <x:c r="A15" s="184" t="str">
        <x:v>TW-COL-ANG-M</x:v>
      </x:c>
      <x:c r="B15" s="185" t="str">
        <x:v>interior_cover_color</x:v>
      </x:c>
      <x:c r="C15" s="185" t="str">
        <x:v>M</x:v>
      </x:c>
      <x:c r="D15" s="185" t="str">
        <x:v>ブラック</x:v>
      </x:c>
      <x:c r="E15" s="185" t="str">
        <x:v>FREE</x:v>
      </x:c>
      <x:c r="F15" s="185" t="str">
        <x:v>樹脂アングルカバー</x:v>
      </x:c>
      <x:c r="G15" s="185" t="str">
        <x:v>COMPLETE</x:v>
      </x:c>
      <x:c r="H15" s="186" t="str">
        <x:v>TW-EV-003,004</x:v>
      </x:c>
    </x:row>
    <x:row r="16">
      <x:c r="A16" s="184" t="str">
        <x:v>TW-COL-INT-C</x:v>
      </x:c>
      <x:c r="B16" s="185" t="str">
        <x:v>sash_interior_color</x:v>
      </x:c>
      <x:c r="C16" s="185" t="str">
        <x:v>C</x:v>
      </x:c>
      <x:c r="D16" s="185" t="str">
        <x:v>クリエモカP</x:v>
      </x:c>
      <x:c r="E16" s="185" t="str">
        <x:v>FREE</x:v>
      </x:c>
      <x:c r="F16" s="185" t="str">
        <x:v>サッシ内観色</x:v>
      </x:c>
      <x:c r="G16" s="185" t="str">
        <x:v>COMPLETE</x:v>
      </x:c>
      <x:c r="H16" s="186" t="str">
        <x:v>TW-EV-003,004</x:v>
      </x:c>
    </x:row>
    <x:row r="17">
      <x:c r="A17" s="184" t="str">
        <x:v>TW-COL-ANG-C</x:v>
      </x:c>
      <x:c r="B17" s="185" t="str">
        <x:v>interior_cover_color</x:v>
      </x:c>
      <x:c r="C17" s="185" t="str">
        <x:v>C</x:v>
      </x:c>
      <x:c r="D17" s="185" t="str">
        <x:v>クリエモカP</x:v>
      </x:c>
      <x:c r="E17" s="185" t="str">
        <x:v>FREE</x:v>
      </x:c>
      <x:c r="F17" s="185" t="str">
        <x:v>樹脂アングルカバー</x:v>
      </x:c>
      <x:c r="G17" s="185" t="str">
        <x:v>COMPLETE</x:v>
      </x:c>
      <x:c r="H17" s="186" t="str">
        <x:v>TW-EV-003,004</x:v>
      </x:c>
    </x:row>
    <x:row r="18">
      <x:c r="A18" s="184" t="str">
        <x:v>TW-COL-INT-B</x:v>
      </x:c>
      <x:c r="B18" s="185" t="str">
        <x:v>sash_interior_color</x:v>
      </x:c>
      <x:c r="C18" s="185" t="str">
        <x:v>B</x:v>
      </x:c>
      <x:c r="D18" s="185" t="str">
        <x:v>クリエラスクP</x:v>
      </x:c>
      <x:c r="E18" s="185" t="str">
        <x:v>FREE</x:v>
      </x:c>
      <x:c r="F18" s="185" t="str">
        <x:v>サッシ内観色</x:v>
      </x:c>
      <x:c r="G18" s="185" t="str">
        <x:v>COMPLETE</x:v>
      </x:c>
      <x:c r="H18" s="186" t="str">
        <x:v>TW-EV-003,004</x:v>
      </x:c>
    </x:row>
    <x:row r="19">
      <x:c r="A19" s="184" t="str">
        <x:v>TW-COL-ANG-B</x:v>
      </x:c>
      <x:c r="B19" s="185" t="str">
        <x:v>interior_cover_color</x:v>
      </x:c>
      <x:c r="C19" s="185" t="str">
        <x:v>B</x:v>
      </x:c>
      <x:c r="D19" s="185" t="str">
        <x:v>クリエラスクP</x:v>
      </x:c>
      <x:c r="E19" s="185" t="str">
        <x:v>FREE</x:v>
      </x:c>
      <x:c r="F19" s="185" t="str">
        <x:v>樹脂アングルカバー</x:v>
      </x:c>
      <x:c r="G19" s="185" t="str">
        <x:v>COMPLETE</x:v>
      </x:c>
      <x:c r="H19" s="186" t="str">
        <x:v>TW-EV-003,004</x:v>
      </x:c>
    </x:row>
    <x:row r="20">
      <x:c r="A20" s="184" t="str">
        <x:v>TW-COL-INT-P</x:v>
      </x:c>
      <x:c r="B20" s="185" t="str">
        <x:v>sash_interior_color</x:v>
      </x:c>
      <x:c r="C20" s="185" t="str">
        <x:v>P</x:v>
      </x:c>
      <x:c r="D20" s="185" t="str">
        <x:v>クリエペールP</x:v>
      </x:c>
      <x:c r="E20" s="185" t="str">
        <x:v>FREE</x:v>
      </x:c>
      <x:c r="F20" s="185" t="str">
        <x:v>サッシ内観色</x:v>
      </x:c>
      <x:c r="G20" s="185" t="str">
        <x:v>COMPLETE</x:v>
      </x:c>
      <x:c r="H20" s="186" t="str">
        <x:v>TW-EV-003,004</x:v>
      </x:c>
    </x:row>
    <x:row r="21">
      <x:c r="A21" s="184" t="str">
        <x:v>TW-COL-ANG-P</x:v>
      </x:c>
      <x:c r="B21" s="185" t="str">
        <x:v>interior_cover_color</x:v>
      </x:c>
      <x:c r="C21" s="185" t="str">
        <x:v>P</x:v>
      </x:c>
      <x:c r="D21" s="185" t="str">
        <x:v>クリエペールP</x:v>
      </x:c>
      <x:c r="E21" s="185" t="str">
        <x:v>FREE</x:v>
      </x:c>
      <x:c r="F21" s="185" t="str">
        <x:v>樹脂アングルカバー</x:v>
      </x:c>
      <x:c r="G21" s="185" t="str">
        <x:v>COMPLETE</x:v>
      </x:c>
      <x:c r="H21" s="186" t="str">
        <x:v>TW-EV-003,004</x:v>
      </x:c>
    </x:row>
    <x:row r="22">
      <x:c r="A22" s="184" t="str">
        <x:v>TW-COL-INT-F</x:v>
      </x:c>
      <x:c r="B22" s="185" t="str">
        <x:v>sash_interior_color</x:v>
      </x:c>
      <x:c r="C22" s="185" t="str">
        <x:v>F</x:v>
      </x:c>
      <x:c r="D22" s="185" t="str">
        <x:v>プレシャスホワイトP</x:v>
      </x:c>
      <x:c r="E22" s="185" t="str">
        <x:v>FREE</x:v>
      </x:c>
      <x:c r="F22" s="185" t="str">
        <x:v>サッシ内観色</x:v>
      </x:c>
      <x:c r="G22" s="185" t="str">
        <x:v>COMPLETE</x:v>
      </x:c>
      <x:c r="H22" s="186" t="str">
        <x:v>TW-EV-003,004</x:v>
      </x:c>
    </x:row>
    <x:row r="23">
      <x:c r="A23" s="187" t="str">
        <x:v>TW-COL-ANG-F</x:v>
      </x:c>
      <x:c r="B23" s="188" t="str">
        <x:v>interior_cover_color</x:v>
      </x:c>
      <x:c r="C23" s="188" t="str">
        <x:v>F</x:v>
      </x:c>
      <x:c r="D23" s="188" t="str">
        <x:v>プレシャスホワイトP</x:v>
      </x:c>
      <x:c r="E23" s="188" t="str">
        <x:v>FREE</x:v>
      </x:c>
      <x:c r="F23" s="188" t="str">
        <x:v>樹脂アングルカバー</x:v>
      </x:c>
      <x:c r="G23" s="188" t="str">
        <x:v>COMPLETE</x:v>
      </x:c>
      <x:c r="H23" s="189" t="str">
        <x:v>TW-EV-003,004</x:v>
      </x:c>
    </x:row>
    <x:row r="24">
      <x:c r="A24" s="35"/>
      <x:c r="B24" s="36"/>
      <x:c r="C24" s="36"/>
      <x:c r="D24" s="36"/>
      <x:c r="E24" s="36"/>
      <x:c r="F24" s="36"/>
      <x:c r="G24" s="36"/>
      <x:c r="H24" s="37"/>
    </x:row>
    <x:row r="25">
      <x:c r="A25" s="35"/>
      <x:c r="B25" s="36"/>
      <x:c r="C25" s="36"/>
      <x:c r="D25" s="36"/>
      <x:c r="E25" s="36"/>
      <x:c r="F25" s="36"/>
      <x:c r="G25" s="36"/>
      <x:c r="H25" s="37"/>
    </x:row>
    <x:row r="26">
      <x:c r="A26" s="35"/>
      <x:c r="B26" s="36"/>
      <x:c r="C26" s="36"/>
      <x:c r="D26" s="36"/>
      <x:c r="E26" s="36"/>
      <x:c r="F26" s="36"/>
      <x:c r="G26" s="36"/>
      <x:c r="H26" s="37"/>
    </x:row>
    <x:row r="27">
      <x:c r="A27" s="35"/>
      <x:c r="B27" s="36"/>
      <x:c r="C27" s="36"/>
      <x:c r="D27" s="36"/>
      <x:c r="E27" s="36"/>
      <x:c r="F27" s="36"/>
      <x:c r="G27" s="36"/>
      <x:c r="H27" s="37"/>
    </x:row>
    <x:row r="28">
      <x:c r="A28" s="35"/>
      <x:c r="B28" s="36"/>
      <x:c r="C28" s="36"/>
      <x:c r="D28" s="36"/>
      <x:c r="E28" s="36"/>
      <x:c r="F28" s="36"/>
      <x:c r="G28" s="36"/>
      <x:c r="H28" s="37"/>
    </x:row>
    <x:row r="29">
      <x:c r="A29" s="38"/>
      <x:c r="B29" s="39"/>
      <x:c r="C29" s="39"/>
      <x:c r="D29" s="39"/>
      <x:c r="E29" s="39"/>
      <x:c r="F29" s="39"/>
      <x:c r="G29" s="39"/>
      <x:c r="H29" s="40"/>
    </x:row>
  </x:sheetData>
  <x:mergeCells>
    <x:mergeCell ref="A1:H1"/>
  </x:mergeCells>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22" hidden="0" customWidth="1"/>
    <x:col min="4" max="4" width="20" hidden="0" customWidth="1"/>
    <x:col min="5" max="5" width="20" hidden="0" customWidth="1"/>
    <x:col min="6" max="6" width="22" hidden="0" customWidth="1"/>
    <x:col min="7" max="7" width="24" hidden="0" customWidth="1"/>
    <x:col min="8" max="8" width="52" hidden="0" customWidth="1"/>
    <x:col min="9" max="9" width="18" hidden="0" customWidth="1"/>
    <x:col min="10" max="10" width="20" hidden="0" customWidth="1"/>
  </x:cols>
  <x:sheetData>
    <x:row r="1" ht="28" customHeight="1">
      <x:c r="A1" s="178" t="str">
        <x:v>06A_色適用条件｜TWタイプ</x:v>
      </x:c>
      <x:c r="B1" s="178"/>
      <x:c r="C1" s="178"/>
      <x:c r="D1" s="178"/>
      <x:c r="E1" s="178"/>
      <x:c r="F1" s="178"/>
      <x:c r="G1" s="178"/>
      <x:c r="H1" s="178"/>
      <x:c r="I1" s="178"/>
      <x:c r="J1" s="178"/>
    </x:row>
    <x:row r="3" ht="30" customHeight="1">
      <x:c r="A3" s="181" t="str">
        <x:v>rule_id</x:v>
      </x:c>
      <x:c r="B3" s="182" t="str">
        <x:v>variation_id</x:v>
      </x:c>
      <x:c r="C3" s="182" t="str">
        <x:v>color_mode</x:v>
      </x:c>
      <x:c r="D3" s="182" t="str">
        <x:v>sash_exterior</x:v>
      </x:c>
      <x:c r="E3" s="182" t="str">
        <x:v>sash_interior</x:v>
      </x:c>
      <x:c r="F3" s="182" t="str">
        <x:v>exterior_cover</x:v>
      </x:c>
      <x:c r="G3" s="182" t="str">
        <x:v>interior_cover</x:v>
      </x:c>
      <x:c r="H3" s="182" t="str">
        <x:v>rule</x:v>
      </x:c>
      <x:c r="I3" s="182" t="str">
        <x:v>status</x:v>
      </x:c>
      <x:c r="J3" s="183" t="str">
        <x:v>evidence</x:v>
      </x:c>
    </x:row>
    <x:row r="4">
      <x:c r="A4" s="187" t="str">
        <x:v>TW-CM-001</x:v>
      </x:c>
      <x:c r="B4" s="188" t="str">
        <x:v>RPL_TW</x:v>
      </x:c>
      <x:c r="C4" s="188" t="str">
        <x:v>FREE_COMBINATION</x:v>
      </x:c>
      <x:c r="D4" s="188" t="str">
        <x:v>外観5色</x:v>
      </x:c>
      <x:c r="E4" s="188" t="str">
        <x:v>内観5色</x:v>
      </x:c>
      <x:c r="F4" s="188" t="str">
        <x:v>化粧カバー5色</x:v>
      </x:c>
      <x:c r="G4" s="188" t="str">
        <x:v>樹脂アングルカバー5色</x:v>
      </x:c>
      <x:c r="H4" s="188" t="str">
        <x:v>外観・内観は組合せ自由</x:v>
      </x:c>
      <x:c r="I4" s="188" t="str">
        <x:v>COMPLETE</x:v>
      </x:c>
      <x:c r="J4" s="189" t="str">
        <x:v>TW-EV-003,004</x:v>
      </x:c>
    </x:row>
    <x:row r="5">
      <x:c r="A5" s="38"/>
      <x:c r="B5" s="39"/>
      <x:c r="C5" s="39"/>
      <x:c r="D5" s="39"/>
      <x:c r="E5" s="39"/>
      <x:c r="F5" s="39"/>
      <x:c r="G5" s="39"/>
      <x:c r="H5" s="39"/>
      <x:c r="I5" s="40"/>
    </x:row>
  </x:sheetData>
  <x:mergeCells>
    <x:mergeCell ref="A1:I1"/>
    <x:mergeCell ref="A1:J1"/>
  </x:mergeCell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16" hidden="0" customWidth="1"/>
    <x:col min="5" max="5" width="48" hidden="0" customWidth="1"/>
    <x:col min="6" max="6" width="30" hidden="0" customWidth="1"/>
    <x:col min="7" max="7" width="18" hidden="0" customWidth="1"/>
    <x:col min="8" max="8" width="20" hidden="0" customWidth="1"/>
    <x:col min="9" max="9" width="18" hidden="0" customWidth="1"/>
  </x:cols>
  <x:sheetData>
    <x:row r="1" ht="28" customHeight="1">
      <x:c r="A1" s="178" t="str">
        <x:v>07_網戸｜TWタイプ</x:v>
      </x:c>
      <x:c r="B1" s="178"/>
      <x:c r="C1" s="178"/>
      <x:c r="D1" s="178"/>
      <x:c r="E1" s="178"/>
      <x:c r="F1" s="178"/>
      <x:c r="G1" s="178"/>
      <x:c r="H1" s="178"/>
      <x:c r="I1" s="127"/>
    </x:row>
    <x:row r="2" ht="34" customHeight="1">
      <x:c r="A2" s="130"/>
      <x:c r="B2" s="130"/>
      <x:c r="C2" s="130"/>
      <x:c r="D2" s="130"/>
      <x:c r="E2" s="130"/>
      <x:c r="F2" s="130"/>
      <x:c r="G2" s="130"/>
      <x:c r="H2" s="130"/>
      <x:c r="I2" s="133"/>
    </x:row>
    <x:row r="3">
      <x:c r="A3" s="181" t="str">
        <x:v>screen_id</x:v>
      </x:c>
      <x:c r="B3" s="182" t="str">
        <x:v>公式名称</x:v>
      </x:c>
      <x:c r="C3" s="182" t="str">
        <x:v>screen_type</x:v>
      </x:c>
      <x:c r="D3" s="182" t="str">
        <x:v>middle_bar</x:v>
      </x:c>
      <x:c r="E3" s="182" t="str">
        <x:v>mesh_options</x:v>
      </x:c>
      <x:c r="F3" s="182" t="str">
        <x:v>適用</x:v>
      </x:c>
      <x:c r="G3" s="182" t="str">
        <x:v>status</x:v>
      </x:c>
      <x:c r="H3" s="183" t="str">
        <x:v>evidence</x:v>
      </x:c>
    </x:row>
    <x:row r="4" ht="30" customHeight="1">
      <x:c r="A4" s="196" t="str">
        <x:v>TW-SCR-NONE</x:v>
      </x:c>
      <x:c r="B4" s="208" t="str">
        <x:v>なし</x:v>
      </x:c>
      <x:c r="C4" s="208" t="str">
        <x:v>NONE</x:v>
      </x:c>
      <x:c r="D4" s="208" t="str">
        <x:v>—</x:v>
      </x:c>
      <x:c r="E4" s="208" t="str">
        <x:v>—</x:v>
      </x:c>
      <x:c r="F4" s="208" t="str">
        <x:v>全サイズ</x:v>
      </x:c>
      <x:c r="G4" s="208" t="str">
        <x:v>COMPLETE</x:v>
      </x:c>
      <x:c r="H4" s="197" t="str">
        <x:v>TW-EV-005,006</x:v>
      </x:c>
      <x:c r="I4" s="143"/>
    </x:row>
    <x:row r="5">
      <x:c r="A5" s="184" t="str">
        <x:v>TW-SCR-NOBAR</x:v>
      </x:c>
      <x:c r="B5" s="185" t="str">
        <x:v>引違い網戸（中桟無）</x:v>
      </x:c>
      <x:c r="C5" s="185" t="str">
        <x:v>SLIDING</x:v>
      </x:c>
      <x:c r="D5" s="185" t="str">
        <x:v>中桟無</x:v>
      </x:c>
      <x:c r="E5" s="185" t="str">
        <x:v>標準/きれい/虫イヤ/ペット</x:v>
      </x:c>
      <x:c r="F5" s="185" t="str">
        <x:v>全サイズ（製作範囲内）</x:v>
      </x:c>
      <x:c r="G5" s="185" t="str">
        <x:v>COMPLETE</x:v>
      </x:c>
      <x:c r="H5" s="186" t="str">
        <x:v>TW-EV-005,006</x:v>
      </x:c>
      <x:c r="I5" s="146"/>
    </x:row>
    <x:row r="6">
      <x:c r="A6" s="187" t="str">
        <x:v>TW-SCR-BAR</x:v>
      </x:c>
      <x:c r="B6" s="188" t="str">
        <x:v>引違い網戸（中桟付）</x:v>
      </x:c>
      <x:c r="C6" s="188" t="str">
        <x:v>SLIDING</x:v>
      </x:c>
      <x:c r="D6" s="188" t="str">
        <x:v>中桟付</x:v>
      </x:c>
      <x:c r="E6" s="188" t="str">
        <x:v>標準/きれい/虫イヤ/ペット</x:v>
      </x:c>
      <x:c r="F6" s="188" t="str">
        <x:v>1648≤HD≤2405</x:v>
      </x:c>
      <x:c r="G6" s="188" t="str">
        <x:v>COMPLETE</x:v>
      </x:c>
      <x:c r="H6" s="189" t="str">
        <x:v>TW-EV-005,006</x:v>
      </x:c>
      <x:c r="I6" s="146"/>
    </x:row>
    <x:row r="7">
      <x:c r="A7" s="144"/>
      <x:c r="B7" s="145"/>
      <x:c r="C7" s="145"/>
      <x:c r="D7" s="145"/>
      <x:c r="E7" s="145"/>
      <x:c r="F7" s="145"/>
      <x:c r="G7" s="145"/>
      <x:c r="H7" s="145"/>
      <x:c r="I7" s="146"/>
    </x:row>
    <x:row r="8">
      <x:c r="A8" s="144"/>
      <x:c r="B8" s="145"/>
      <x:c r="C8" s="145"/>
      <x:c r="D8" s="145"/>
      <x:c r="E8" s="145"/>
      <x:c r="F8" s="145"/>
      <x:c r="G8" s="145"/>
      <x:c r="H8" s="145"/>
      <x:c r="I8" s="146"/>
    </x:row>
    <x:row r="9">
      <x:c r="A9" s="144"/>
      <x:c r="B9" s="145"/>
      <x:c r="C9" s="145"/>
      <x:c r="D9" s="145"/>
      <x:c r="E9" s="145"/>
      <x:c r="F9" s="145"/>
      <x:c r="G9" s="145"/>
      <x:c r="H9" s="145"/>
      <x:c r="I9" s="146"/>
    </x:row>
    <x:row r="10">
      <x:c r="A10" s="144"/>
      <x:c r="B10" s="145"/>
      <x:c r="C10" s="145"/>
      <x:c r="D10" s="145"/>
      <x:c r="E10" s="145"/>
      <x:c r="F10" s="145"/>
      <x:c r="G10" s="145"/>
      <x:c r="H10" s="145"/>
      <x:c r="I10" s="146"/>
    </x:row>
    <x:row r="11">
      <x:c r="A11" s="147"/>
      <x:c r="B11" s="148"/>
      <x:c r="C11" s="148"/>
      <x:c r="D11" s="148"/>
      <x:c r="E11" s="148"/>
      <x:c r="F11" s="148"/>
      <x:c r="G11" s="148"/>
      <x:c r="H11" s="148"/>
      <x:c r="I11" s="149"/>
    </x:row>
    <x:row r="12">
      <x:c r="A12" s="35"/>
      <x:c r="B12" s="36"/>
      <x:c r="C12" s="36"/>
      <x:c r="D12" s="36"/>
      <x:c r="E12" s="36"/>
      <x:c r="F12" s="36"/>
      <x:c r="G12" s="36"/>
      <x:c r="H12" s="37"/>
    </x:row>
    <x:row r="13">
      <x:c r="A13" s="38"/>
      <x:c r="B13" s="39"/>
      <x:c r="C13" s="39"/>
      <x:c r="D13" s="39"/>
      <x:c r="E13" s="39"/>
      <x:c r="F13" s="39"/>
      <x:c r="G13" s="39"/>
      <x:c r="H13" s="40"/>
    </x:row>
  </x:sheetData>
  <x:mergeCells>
    <x:mergeCell ref="A1:H1"/>
    <x:mergeCell ref="A2:H2"/>
    <x:mergeCell ref="A1:I1"/>
    <x:mergeCell ref="A2:I2"/>
  </x:mergeCell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30" hidden="0" customWidth="1"/>
    <x:col min="5" max="5" width="22" hidden="0" customWidth="1"/>
    <x:col min="6" max="6" width="50" hidden="0" customWidth="1"/>
    <x:col min="7" max="7" width="18" hidden="0" customWidth="1"/>
    <x:col min="8" max="8" width="20" hidden="0" customWidth="1"/>
    <x:col min="9" max="9" width="18" hidden="0" customWidth="1"/>
  </x:cols>
  <x:sheetData>
    <x:row r="1" ht="28" customHeight="1">
      <x:c r="A1" s="178" t="str">
        <x:v>07A_網戸適用条件｜TWタイプ サイズ連動</x:v>
      </x:c>
      <x:c r="B1" s="178"/>
      <x:c r="C1" s="178"/>
      <x:c r="D1" s="178"/>
      <x:c r="E1" s="178"/>
      <x:c r="F1" s="178"/>
      <x:c r="G1" s="178"/>
      <x:c r="H1" s="178"/>
      <x:c r="I1" s="127"/>
    </x:row>
    <x:row r="3" ht="30" customHeight="1">
      <x:c r="A3" s="181" t="str">
        <x:v>rule_id</x:v>
      </x:c>
      <x:c r="B3" s="182" t="str">
        <x:v>window_type_id</x:v>
      </x:c>
      <x:c r="C3" s="182" t="str">
        <x:v>screen_id</x:v>
      </x:c>
      <x:c r="D3" s="182" t="str">
        <x:v>size_condition</x:v>
      </x:c>
      <x:c r="E3" s="182" t="str">
        <x:v>ui_action</x:v>
      </x:c>
      <x:c r="F3" s="182" t="str">
        <x:v>note</x:v>
      </x:c>
      <x:c r="G3" s="182" t="str">
        <x:v>status</x:v>
      </x:c>
      <x:c r="H3" s="183" t="str">
        <x:v>evidence</x:v>
      </x:c>
      <x:c r="I3" s="143"/>
    </x:row>
    <x:row r="4">
      <x:c r="A4" s="184" t="str">
        <x:v>TW-SC-001</x:v>
      </x:c>
      <x:c r="B4" s="185" t="str">
        <x:v>RPL_TW_SLD</x:v>
      </x:c>
      <x:c r="C4" s="185" t="str">
        <x:v>TW-SCR-NONE</x:v>
      </x:c>
      <x:c r="D4" s="185" t="str">
        <x:v>ANY</x:v>
      </x:c>
      <x:c r="E4" s="185" t="str">
        <x:v>SHOW</x:v>
      </x:c>
      <x:c r="F4" s="185" t="str">
        <x:v>—</x:v>
      </x:c>
      <x:c r="G4" s="185" t="str">
        <x:v>COMPLETE</x:v>
      </x:c>
      <x:c r="H4" s="186" t="str">
        <x:v>TW-EV-005,006</x:v>
      </x:c>
      <x:c r="I4" s="146"/>
    </x:row>
    <x:row r="5">
      <x:c r="A5" s="184" t="str">
        <x:v>TW-SC-002</x:v>
      </x:c>
      <x:c r="B5" s="185" t="str">
        <x:v>RPL_TW_SLD</x:v>
      </x:c>
      <x:c r="C5" s="185" t="str">
        <x:v>TW-SCR-NOBAR</x:v>
      </x:c>
      <x:c r="D5" s="185" t="str">
        <x:v>ANY</x:v>
      </x:c>
      <x:c r="E5" s="185" t="str">
        <x:v>SHOW</x:v>
      </x:c>
      <x:c r="F5" s="185" t="str">
        <x:v>—</x:v>
      </x:c>
      <x:c r="G5" s="185" t="str">
        <x:v>COMPLETE</x:v>
      </x:c>
      <x:c r="H5" s="186" t="str">
        <x:v>TW-EV-005,006</x:v>
      </x:c>
      <x:c r="I5" s="146"/>
    </x:row>
    <x:row r="6">
      <x:c r="A6" s="184" t="str">
        <x:v>TW-SC-003</x:v>
      </x:c>
      <x:c r="B6" s="185" t="str">
        <x:v>RPL_TW_SLD</x:v>
      </x:c>
      <x:c r="C6" s="185" t="str">
        <x:v>TW-SCR-BAR</x:v>
      </x:c>
      <x:c r="D6" s="185" t="str">
        <x:v>1648&lt;=HD&lt;=2405</x:v>
      </x:c>
      <x:c r="E6" s="185" t="str">
        <x:v>SHOW_IF_ALLOWED</x:v>
      </x:c>
      <x:c r="F6" s="185" t="str">
        <x:v>明示条件を価格帯より優先</x:v>
      </x:c>
      <x:c r="G6" s="185" t="str">
        <x:v>COMPLETE</x:v>
      </x:c>
      <x:c r="H6" s="186" t="str">
        <x:v>TW-EV-005,006</x:v>
      </x:c>
      <x:c r="I6" s="146"/>
    </x:row>
    <x:row r="7">
      <x:c r="A7" s="187" t="str">
        <x:v>TW-SC-004</x:v>
      </x:c>
      <x:c r="B7" s="188" t="str">
        <x:v>RPL_TW_SLD</x:v>
      </x:c>
      <x:c r="C7" s="188" t="str">
        <x:v>TW-SCR-BAR</x:v>
      </x:c>
      <x:c r="D7" s="188" t="str">
        <x:v>HD&lt;1648 OR HD&gt;2405</x:v>
      </x:c>
      <x:c r="E7" s="188" t="str">
        <x:v>HIDE</x:v>
      </x:c>
      <x:c r="F7" s="188" t="str">
        <x:v>中桟付を候補に出さない</x:v>
      </x:c>
      <x:c r="G7" s="188" t="str">
        <x:v>COMPLETE</x:v>
      </x:c>
      <x:c r="H7" s="189" t="str">
        <x:v>TW-EV-005,006</x:v>
      </x:c>
      <x:c r="I7" s="146"/>
    </x:row>
    <x:row r="8">
      <x:c r="A8" s="144"/>
      <x:c r="B8" s="145"/>
      <x:c r="C8" s="145"/>
      <x:c r="D8" s="145"/>
      <x:c r="E8" s="145"/>
      <x:c r="F8" s="145"/>
      <x:c r="G8" s="145"/>
      <x:c r="H8" s="145"/>
      <x:c r="I8" s="146"/>
    </x:row>
    <x:row r="9">
      <x:c r="A9" s="144"/>
      <x:c r="B9" s="145"/>
      <x:c r="C9" s="145"/>
      <x:c r="D9" s="145"/>
      <x:c r="E9" s="145"/>
      <x:c r="F9" s="145"/>
      <x:c r="G9" s="145"/>
      <x:c r="H9" s="145"/>
      <x:c r="I9" s="146"/>
    </x:row>
    <x:row r="10">
      <x:c r="A10" s="144"/>
      <x:c r="B10" s="145"/>
      <x:c r="C10" s="145"/>
      <x:c r="D10" s="145"/>
      <x:c r="E10" s="145"/>
      <x:c r="F10" s="145"/>
      <x:c r="G10" s="145"/>
      <x:c r="H10" s="145"/>
      <x:c r="I10" s="146"/>
    </x:row>
    <x:row r="11">
      <x:c r="A11" s="144"/>
      <x:c r="B11" s="145"/>
      <x:c r="C11" s="145"/>
      <x:c r="D11" s="145"/>
      <x:c r="E11" s="145"/>
      <x:c r="F11" s="145"/>
      <x:c r="G11" s="145"/>
      <x:c r="H11" s="145"/>
      <x:c r="I11" s="146"/>
    </x:row>
    <x:row r="12">
      <x:c r="A12" s="144"/>
      <x:c r="B12" s="145"/>
      <x:c r="C12" s="145"/>
      <x:c r="D12" s="145"/>
      <x:c r="E12" s="145"/>
      <x:c r="F12" s="145"/>
      <x:c r="G12" s="145"/>
      <x:c r="H12" s="145"/>
      <x:c r="I12" s="146"/>
    </x:row>
    <x:row r="13">
      <x:c r="A13" s="147"/>
      <x:c r="B13" s="148"/>
      <x:c r="C13" s="148"/>
      <x:c r="D13" s="148"/>
      <x:c r="E13" s="148"/>
      <x:c r="F13" s="148"/>
      <x:c r="G13" s="148"/>
      <x:c r="H13" s="148"/>
      <x:c r="I13" s="149"/>
    </x:row>
  </x:sheetData>
  <x:mergeCells>
    <x:mergeCell ref="A1:H1"/>
    <x:mergeCell ref="A1:I1"/>
  </x:mergeCells>
  <x:pageMargins left="0.7" right="0.7" top="0.75" bottom="0.75" header="0.3" footer="0.3"/>
</x:worksheet>
</file>

<file path=xl/worksheets/sheet18.xml><?xml version="1.0" encoding="utf-8"?>
<x:worksheet xmlns:x="http://schemas.openxmlformats.org/spreadsheetml/2006/main">
  <x:sheetFormatPr defaultRowHeight="15"/>
  <x:cols>
    <x:col min="1" max="1" width="26" hidden="0" customWidth="1"/>
    <x:col min="2" max="2" width="50" hidden="0" customWidth="1"/>
    <x:col min="3" max="3" width="22" hidden="0" customWidth="1"/>
    <x:col min="4" max="4" width="26" hidden="0" customWidth="1"/>
    <x:col min="5" max="5" width="46" hidden="0" customWidth="1"/>
    <x:col min="6" max="6" width="22" hidden="0" customWidth="1"/>
    <x:col min="7" max="7" width="22" hidden="0" customWidth="1"/>
    <x:col min="8" max="8" width="18" hidden="0" customWidth="1"/>
  </x:cols>
  <x:sheetData>
    <x:row r="1" ht="28" customHeight="1">
      <x:c r="A1" s="178" t="str">
        <x:v>08_ガラス｜TWタイプ 専用トリプル</x:v>
      </x:c>
      <x:c r="B1" s="178"/>
      <x:c r="C1" s="178"/>
      <x:c r="D1" s="178"/>
      <x:c r="E1" s="178"/>
      <x:c r="F1" s="178"/>
      <x:c r="G1" s="178"/>
      <x:c r="H1" s="127"/>
    </x:row>
    <x:row r="2" ht="36" customHeight="1">
      <x:c r="A2" s="179" t="str">
        <x:v>通常UIは専用Low-Eトリプル→Low-E構成→ガス→仕上げ/追加機能。グリーン×クリアは資料間不一致のため通常候補から非表示。</x:v>
      </x:c>
      <x:c r="B2" s="179"/>
      <x:c r="C2" s="179"/>
      <x:c r="D2" s="179"/>
      <x:c r="E2" s="179"/>
      <x:c r="F2" s="179"/>
      <x:c r="G2" s="179"/>
      <x:c r="H2" s="130"/>
    </x:row>
    <x:row r="4" ht="30" customHeight="1">
      <x:c r="A4" s="181" t="str">
        <x:v>glass_id</x:v>
      </x:c>
      <x:c r="B4" s="182" t="str">
        <x:v>公式名称</x:v>
      </x:c>
      <x:c r="C4" s="182" t="str">
        <x:v>glass_axis</x:v>
      </x:c>
      <x:c r="D4" s="182" t="str">
        <x:v>detail</x:v>
      </x:c>
      <x:c r="E4" s="182" t="str">
        <x:v>適用/条件</x:v>
      </x:c>
      <x:c r="F4" s="182" t="str">
        <x:v>status</x:v>
      </x:c>
      <x:c r="G4" s="183" t="str">
        <x:v>evidence</x:v>
      </x:c>
      <x:c r="H4" s="143"/>
    </x:row>
    <x:row r="5">
      <x:c r="A5" s="184" t="str">
        <x:v>TW-GL-TRIPLE</x:v>
      </x:c>
      <x:c r="B5" s="185" t="str">
        <x:v>Low-Eトリプルガラス（ダブルLow-E）</x:v>
      </x:c>
      <x:c r="C5" s="185" t="str">
        <x:v>TRIPLE_LOW_E</x:v>
      </x:c>
      <x:c r="D5" s="185" t="str">
        <x:v>固定</x:v>
      </x:c>
      <x:c r="E5" s="185" t="str">
        <x:v>RPL_TW</x:v>
      </x:c>
      <x:c r="F5" s="185" t="str">
        <x:v>COMPLETE</x:v>
      </x:c>
      <x:c r="G5" s="186" t="str">
        <x:v>TW-EV-004,008</x:v>
      </x:c>
      <x:c r="H5" s="146"/>
    </x:row>
    <x:row r="6">
      <x:c r="A6" s="184" t="str">
        <x:v>TW-GL-CC</x:v>
      </x:c>
      <x:c r="B6" s="185" t="str">
        <x:v>クリア×クリア</x:v>
      </x:c>
      <x:c r="C6" s="185" t="str">
        <x:v>LOW_E_COLOR</x:v>
      </x:c>
      <x:c r="D6" s="185" t="str">
        <x:v>ダブルLow-E</x:v>
      </x:c>
      <x:c r="E6" s="185" t="str">
        <x:v>全国</x:v>
      </x:c>
      <x:c r="F6" s="185" t="str">
        <x:v>COMPLETE</x:v>
      </x:c>
      <x:c r="G6" s="186" t="str">
        <x:v>TW-EV-004,008</x:v>
      </x:c>
      <x:c r="H6" s="146"/>
    </x:row>
    <x:row r="7">
      <x:c r="A7" s="184" t="str">
        <x:v>TW-GL-GG</x:v>
      </x:c>
      <x:c r="B7" s="185" t="str">
        <x:v>グリーン×グリーン</x:v>
      </x:c>
      <x:c r="C7" s="185" t="str">
        <x:v>LOW_E_COLOR</x:v>
      </x:c>
      <x:c r="D7" s="185" t="str">
        <x:v>ダブルLow-E</x:v>
      </x:c>
      <x:c r="E7" s="185" t="str">
        <x:v>全国</x:v>
      </x:c>
      <x:c r="F7" s="185" t="str">
        <x:v>COMPLETE</x:v>
      </x:c>
      <x:c r="G7" s="186" t="str">
        <x:v>TW-EV-004,008</x:v>
      </x:c>
      <x:c r="H7" s="146"/>
    </x:row>
    <x:row r="8">
      <x:c r="A8" s="184" t="str">
        <x:v>TW-GL-CG</x:v>
      </x:c>
      <x:c r="B8" s="185" t="str">
        <x:v>クリア×グリーン</x:v>
      </x:c>
      <x:c r="C8" s="185" t="str">
        <x:v>LOW_E_COLOR</x:v>
      </x:c>
      <x:c r="D8" s="185" t="str">
        <x:v>ダブルLow-E</x:v>
      </x:c>
      <x:c r="E8" s="185" t="str">
        <x:v>全国</x:v>
      </x:c>
      <x:c r="F8" s="185" t="str">
        <x:v>COMPLETE</x:v>
      </x:c>
      <x:c r="G8" s="186" t="str">
        <x:v>TW-EV-004,008</x:v>
      </x:c>
      <x:c r="H8" s="146"/>
    </x:row>
    <x:row r="9">
      <x:c r="A9" s="184" t="str">
        <x:v>TW-GL-CB</x:v>
      </x:c>
      <x:c r="B9" s="185" t="str">
        <x:v>クリア×ブロンズ</x:v>
      </x:c>
      <x:c r="C9" s="185" t="str">
        <x:v>LOW_E_COLOR</x:v>
      </x:c>
      <x:c r="D9" s="185" t="str">
        <x:v>ダブルLow-E</x:v>
      </x:c>
      <x:c r="E9" s="185" t="str">
        <x:v>北海道・東北限定</x:v>
      </x:c>
      <x:c r="F9" s="185" t="str">
        <x:v>COMPLETE</x:v>
      </x:c>
      <x:c r="G9" s="186" t="str">
        <x:v>TW-EV-008</x:v>
      </x:c>
      <x:c r="H9" s="146"/>
    </x:row>
    <x:row r="10">
      <x:c r="A10" s="184" t="str">
        <x:v>TW-GL-GENERAL-CLEAR</x:v>
      </x:c>
      <x:c r="B10" s="185" t="str">
        <x:v>一般×クリア</x:v>
      </x:c>
      <x:c r="C10" s="185" t="str">
        <x:v>LOW_E_COLOR</x:v>
      </x:c>
      <x:c r="D10" s="185" t="str">
        <x:v>室内側のみLow-E</x:v>
      </x:c>
      <x:c r="E10" s="185" t="str">
        <x:v>公式商品体系設定</x:v>
      </x:c>
      <x:c r="F10" s="185" t="str">
        <x:v>COMPLETE</x:v>
      </x:c>
      <x:c r="G10" s="186" t="str">
        <x:v>TW-EV-008</x:v>
      </x:c>
      <x:c r="H10" s="146"/>
    </x:row>
    <x:row r="11">
      <x:c r="A11" s="184" t="str">
        <x:v>TW-GL-GC-REVIEW</x:v>
      </x:c>
      <x:c r="B11" s="185" t="str">
        <x:v>グリーン×クリア</x:v>
      </x:c>
      <x:c r="C11" s="185" t="str">
        <x:v>LOW_E_COLOR</x:v>
      </x:c>
      <x:c r="D11" s="185" t="str">
        <x:v>—</x:v>
      </x:c>
      <x:c r="E11" s="185" t="str">
        <x:v>発注シート記載／商品体系・Web未記載</x:v>
      </x:c>
      <x:c r="F11" s="185" t="str">
        <x:v>REVIEW_REQUIRED</x:v>
      </x:c>
      <x:c r="G11" s="186" t="str">
        <x:v>TW-EV-013</x:v>
      </x:c>
      <x:c r="H11" s="149"/>
    </x:row>
    <x:row r="12">
      <x:c r="A12" s="184" t="str">
        <x:v>TW-GAS-ARGON</x:v>
      </x:c>
      <x:c r="B12" s="185" t="str">
        <x:v>アルゴンガス</x:v>
      </x:c>
      <x:c r="C12" s="185" t="str">
        <x:v>GAS_TYPE</x:v>
      </x:c>
      <x:c r="D12" s="185" t="str">
        <x:v>—</x:v>
      </x:c>
      <x:c r="E12" s="185" t="str">
        <x:v>選択可</x:v>
      </x:c>
      <x:c r="F12" s="185" t="str">
        <x:v>COMPLETE</x:v>
      </x:c>
      <x:c r="G12" s="186" t="str">
        <x:v>TW-EV-005,006,008</x:v>
      </x:c>
    </x:row>
    <x:row r="13">
      <x:c r="A13" s="184" t="str">
        <x:v>TW-GAS-KRYPTON</x:v>
      </x:c>
      <x:c r="B13" s="185" t="str">
        <x:v>クリプトンガス</x:v>
      </x:c>
      <x:c r="C13" s="185" t="str">
        <x:v>GAS_TYPE</x:v>
      </x:c>
      <x:c r="D13" s="185" t="str">
        <x:v>—</x:v>
      </x:c>
      <x:c r="E13" s="185" t="str">
        <x:v>選択可</x:v>
      </x:c>
      <x:c r="F13" s="185" t="str">
        <x:v>COMPLETE</x:v>
      </x:c>
      <x:c r="G13" s="186" t="str">
        <x:v>TW-EV-005,006,008</x:v>
      </x:c>
    </x:row>
    <x:row r="14">
      <x:c r="A14" s="184" t="str">
        <x:v>TW-SPACER-RESIN</x:v>
      </x:c>
      <x:c r="B14" s="185" t="str">
        <x:v>樹脂スペーサー</x:v>
      </x:c>
      <x:c r="C14" s="185" t="str">
        <x:v>SPACER</x:v>
      </x:c>
      <x:c r="D14" s="185" t="str">
        <x:v>—</x:v>
      </x:c>
      <x:c r="E14" s="185" t="str">
        <x:v>固定</x:v>
      </x:c>
      <x:c r="F14" s="185" t="str">
        <x:v>COMPLETE</x:v>
      </x:c>
      <x:c r="G14" s="186" t="str">
        <x:v>TW-EV-005,008</x:v>
      </x:c>
    </x:row>
    <x:row r="15">
      <x:c r="A15" s="184" t="str">
        <x:v>TW-PATTERN-CLEAR</x:v>
      </x:c>
      <x:c r="B15" s="185" t="str">
        <x:v>透明</x:v>
      </x:c>
      <x:c r="C15" s="185" t="str">
        <x:v>GLASS_PATTERN</x:v>
      </x:c>
      <x:c r="D15" s="185" t="str">
        <x:v>—</x:v>
      </x:c>
      <x:c r="E15" s="185" t="str">
        <x:v>基本仕様</x:v>
      </x:c>
      <x:c r="F15" s="185" t="str">
        <x:v>COMPLETE</x:v>
      </x:c>
      <x:c r="G15" s="186" t="str">
        <x:v>TW-EV-005,011</x:v>
      </x:c>
    </x:row>
    <x:row r="16">
      <x:c r="A16" s="184" t="str">
        <x:v>TW-PATTERN-OBSCURE</x:v>
      </x:c>
      <x:c r="B16" s="185" t="str">
        <x:v>型</x:v>
      </x:c>
      <x:c r="C16" s="185" t="str">
        <x:v>GLASS_PATTERN</x:v>
      </x:c>
      <x:c r="D16" s="185" t="str">
        <x:v>—</x:v>
      </x:c>
      <x:c r="E16" s="185" t="str">
        <x:v>基本仕様</x:v>
      </x:c>
      <x:c r="F16" s="185" t="str">
        <x:v>COMPLETE</x:v>
      </x:c>
      <x:c r="G16" s="186" t="str">
        <x:v>TW-EV-005,011</x:v>
      </x:c>
    </x:row>
    <x:row r="17">
      <x:c r="A17" s="184" t="str">
        <x:v>TW-PATTERN-FROST</x:v>
      </x:c>
      <x:c r="B17" s="185" t="str">
        <x:v>フロスト</x:v>
      </x:c>
      <x:c r="C17" s="185" t="str">
        <x:v>GLASS_FUNCTION</x:v>
      </x:c>
      <x:c r="D17" s="185" t="str">
        <x:v>—</x:v>
      </x:c>
      <x:c r="E17" s="185" t="str">
        <x:v>追加機能</x:v>
      </x:c>
      <x:c r="F17" s="185" t="str">
        <x:v>COMPLETE</x:v>
      </x:c>
      <x:c r="G17" s="186" t="str">
        <x:v>TW-EV-008,011</x:v>
      </x:c>
    </x:row>
    <x:row r="18">
      <x:c r="A18" s="184" t="str">
        <x:v>TW-SAFETY-CLEAR</x:v>
      </x:c>
      <x:c r="B18" s="185" t="str">
        <x:v>安全合わせ透明</x:v>
      </x:c>
      <x:c r="C18" s="185" t="str">
        <x:v>GLASS_FUNCTION</x:v>
      </x:c>
      <x:c r="D18" s="185" t="str">
        <x:v>—</x:v>
      </x:c>
      <x:c r="E18" s="185" t="str">
        <x:v>追加機能</x:v>
      </x:c>
      <x:c r="F18" s="185" t="str">
        <x:v>COMPLETE</x:v>
      </x:c>
      <x:c r="G18" s="186" t="str">
        <x:v>TW-EV-008,011</x:v>
      </x:c>
    </x:row>
    <x:row r="19">
      <x:c r="A19" s="184" t="str">
        <x:v>TW-SAFETY-MILKY</x:v>
      </x:c>
      <x:c r="B19" s="185" t="str">
        <x:v>安全合わせ乳白</x:v>
      </x:c>
      <x:c r="C19" s="185" t="str">
        <x:v>GLASS_FUNCTION</x:v>
      </x:c>
      <x:c r="D19" s="185" t="str">
        <x:v>—</x:v>
      </x:c>
      <x:c r="E19" s="185" t="str">
        <x:v>追加機能</x:v>
      </x:c>
      <x:c r="F19" s="185" t="str">
        <x:v>COMPLETE</x:v>
      </x:c>
      <x:c r="G19" s="186" t="str">
        <x:v>TW-EV-008,011</x:v>
      </x:c>
    </x:row>
    <x:row r="20">
      <x:c r="A20" s="184" t="str">
        <x:v>TW-DISASTER-SAFETY</x:v>
      </x:c>
      <x:c r="B20" s="185" t="str">
        <x:v>防災安全合わせ</x:v>
      </x:c>
      <x:c r="C20" s="185" t="str">
        <x:v>GLASS_FUNCTION</x:v>
      </x:c>
      <x:c r="D20" s="185" t="str">
        <x:v>—</x:v>
      </x:c>
      <x:c r="E20" s="185" t="str">
        <x:v>追加機能</x:v>
      </x:c>
      <x:c r="F20" s="185" t="str">
        <x:v>COMPLETE</x:v>
      </x:c>
      <x:c r="G20" s="186" t="str">
        <x:v>TW-EV-008</x:v>
      </x:c>
    </x:row>
    <x:row r="21">
      <x:c r="A21" s="187" t="str">
        <x:v>TW-THIN-LAMINATED</x:v>
      </x:c>
      <x:c r="B21" s="188" t="str">
        <x:v>特殊薄板合わせ</x:v>
      </x:c>
      <x:c r="C21" s="188" t="str">
        <x:v>GLASS_FUNCTION</x:v>
      </x:c>
      <x:c r="D21" s="188" t="str">
        <x:v>—</x:v>
      </x:c>
      <x:c r="E21" s="188" t="str">
        <x:v>追加機能</x:v>
      </x:c>
      <x:c r="F21" s="188" t="str">
        <x:v>COMPLETE</x:v>
      </x:c>
      <x:c r="G21" s="189" t="str">
        <x:v>TW-EV-008</x:v>
      </x:c>
    </x:row>
  </x:sheetData>
  <x:mergeCells>
    <x:mergeCell ref="A1:H1"/>
    <x:mergeCell ref="A2:H2"/>
    <x:mergeCell ref="A1:G1"/>
    <x:mergeCell ref="A2:G2"/>
  </x:mergeCells>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24" hidden="0" customWidth="1"/>
    <x:col min="3" max="3" width="28" hidden="0" customWidth="1"/>
    <x:col min="4" max="4" width="14" hidden="0" customWidth="1"/>
    <x:col min="5" max="5" width="40" hidden="0" customWidth="1"/>
    <x:col min="6" max="6" width="22" hidden="0" customWidth="1"/>
    <x:col min="7" max="7" width="22" hidden="0" customWidth="1"/>
    <x:col min="8" max="8" width="22" hidden="0" customWidth="1"/>
  </x:cols>
  <x:sheetData>
    <x:row r="1" ht="28" customHeight="1">
      <x:c r="A1" s="178" t="str">
        <x:v>08A_ガラス適用条件｜TWタイプ</x:v>
      </x:c>
      <x:c r="B1" s="178"/>
      <x:c r="C1" s="178"/>
      <x:c r="D1" s="178"/>
      <x:c r="E1" s="178"/>
      <x:c r="F1" s="178"/>
      <x:c r="G1" s="178"/>
      <x:c r="H1" s="178"/>
    </x:row>
    <x:row r="3" ht="30" customHeight="1">
      <x:c r="A3" s="181" t="str">
        <x:v>rule_id</x:v>
      </x:c>
      <x:c r="B3" s="182" t="str">
        <x:v>window_type_id</x:v>
      </x:c>
      <x:c r="C3" s="182" t="str">
        <x:v>glass_id</x:v>
      </x:c>
      <x:c r="D3" s="182" t="str">
        <x:v>selectable</x:v>
      </x:c>
      <x:c r="E3" s="182" t="str">
        <x:v>condition</x:v>
      </x:c>
      <x:c r="F3" s="182" t="str">
        <x:v>ui_action</x:v>
      </x:c>
      <x:c r="G3" s="182" t="str">
        <x:v>status</x:v>
      </x:c>
      <x:c r="H3" s="183" t="str">
        <x:v>evidence</x:v>
      </x:c>
    </x:row>
    <x:row r="4">
      <x:c r="A4" s="184" t="str">
        <x:v>TW-GC-BASE</x:v>
      </x:c>
      <x:c r="B4" s="185" t="str">
        <x:v>RPL_TW_SLD</x:v>
      </x:c>
      <x:c r="C4" s="185" t="str">
        <x:v>TW-GL-TRIPLE</x:v>
      </x:c>
      <x:c r="D4" s="219" t="b">
        <x:v>1</x:v>
      </x:c>
      <x:c r="E4" s="185" t="str">
        <x:v>FIXED</x:v>
      </x:c>
      <x:c r="F4" s="185" t="str">
        <x:v>SHOW_FIXED</x:v>
      </x:c>
      <x:c r="G4" s="185" t="str">
        <x:v>COMPLETE</x:v>
      </x:c>
      <x:c r="H4" s="186" t="str">
        <x:v>TW-EV-004,008</x:v>
      </x:c>
    </x:row>
    <x:row r="5">
      <x:c r="A5" s="184" t="str">
        <x:v>TW-GC-CC</x:v>
      </x:c>
      <x:c r="B5" s="185" t="str">
        <x:v>RPL_TW_SLD</x:v>
      </x:c>
      <x:c r="C5" s="185" t="str">
        <x:v>TW-GL-CC</x:v>
      </x:c>
      <x:c r="D5" s="219" t="b">
        <x:v>1</x:v>
      </x:c>
      <x:c r="E5" s="185" t="str">
        <x:v>ALL</x:v>
      </x:c>
      <x:c r="F5" s="185" t="str">
        <x:v>SHOW</x:v>
      </x:c>
      <x:c r="G5" s="185" t="str">
        <x:v>COMPLETE</x:v>
      </x:c>
      <x:c r="H5" s="186" t="str">
        <x:v>TW-EV-004,008</x:v>
      </x:c>
    </x:row>
    <x:row r="6">
      <x:c r="A6" s="184" t="str">
        <x:v>TW-GC-GG</x:v>
      </x:c>
      <x:c r="B6" s="185" t="str">
        <x:v>RPL_TW_SLD</x:v>
      </x:c>
      <x:c r="C6" s="185" t="str">
        <x:v>TW-GL-GG</x:v>
      </x:c>
      <x:c r="D6" s="219" t="b">
        <x:v>1</x:v>
      </x:c>
      <x:c r="E6" s="185" t="str">
        <x:v>ALL</x:v>
      </x:c>
      <x:c r="F6" s="185" t="str">
        <x:v>SHOW</x:v>
      </x:c>
      <x:c r="G6" s="185" t="str">
        <x:v>COMPLETE</x:v>
      </x:c>
      <x:c r="H6" s="186" t="str">
        <x:v>TW-EV-004,008</x:v>
      </x:c>
    </x:row>
    <x:row r="7">
      <x:c r="A7" s="184" t="str">
        <x:v>TW-GC-CG</x:v>
      </x:c>
      <x:c r="B7" s="185" t="str">
        <x:v>RPL_TW_SLD</x:v>
      </x:c>
      <x:c r="C7" s="185" t="str">
        <x:v>TW-GL-CG</x:v>
      </x:c>
      <x:c r="D7" s="219" t="b">
        <x:v>1</x:v>
      </x:c>
      <x:c r="E7" s="185" t="str">
        <x:v>ALL</x:v>
      </x:c>
      <x:c r="F7" s="185" t="str">
        <x:v>SHOW</x:v>
      </x:c>
      <x:c r="G7" s="185" t="str">
        <x:v>COMPLETE</x:v>
      </x:c>
      <x:c r="H7" s="186" t="str">
        <x:v>TW-EV-004,008</x:v>
      </x:c>
    </x:row>
    <x:row r="8">
      <x:c r="A8" s="184" t="str">
        <x:v>TW-GC-CB</x:v>
      </x:c>
      <x:c r="B8" s="185" t="str">
        <x:v>RPL_TW_SLD</x:v>
      </x:c>
      <x:c r="C8" s="185" t="str">
        <x:v>TW-GL-CB</x:v>
      </x:c>
      <x:c r="D8" s="219" t="b">
        <x:v>1</x:v>
      </x:c>
      <x:c r="E8" s="185" t="str">
        <x:v>REGION=HOKKAIDO_OR_TOHOKU</x:v>
      </x:c>
      <x:c r="F8" s="185" t="str">
        <x:v>SHOW_IF_ALLOWED</x:v>
      </x:c>
      <x:c r="G8" s="185" t="str">
        <x:v>COMPLETE</x:v>
      </x:c>
      <x:c r="H8" s="186" t="str">
        <x:v>TW-EV-008</x:v>
      </x:c>
    </x:row>
    <x:row r="9">
      <x:c r="A9" s="184" t="str">
        <x:v>TW-GC-GENCLR</x:v>
      </x:c>
      <x:c r="B9" s="185" t="str">
        <x:v>RPL_TW_SLD</x:v>
      </x:c>
      <x:c r="C9" s="185" t="str">
        <x:v>TW-GL-GENERAL-CLEAR</x:v>
      </x:c>
      <x:c r="D9" s="219" t="b">
        <x:v>1</x:v>
      </x:c>
      <x:c r="E9" s="185" t="str">
        <x:v>OFFICIAL_SPECIAL</x:v>
      </x:c>
      <x:c r="F9" s="185" t="str">
        <x:v>SHOW_IF_ALLOWED</x:v>
      </x:c>
      <x:c r="G9" s="185" t="str">
        <x:v>COMPLETE</x:v>
      </x:c>
      <x:c r="H9" s="186" t="str">
        <x:v>TW-EV-008</x:v>
      </x:c>
    </x:row>
    <x:row r="10">
      <x:c r="A10" s="184" t="str">
        <x:v>TW-GC-GC</x:v>
      </x:c>
      <x:c r="B10" s="185" t="str">
        <x:v>RPL_TW_SLD</x:v>
      </x:c>
      <x:c r="C10" s="185" t="str">
        <x:v>TW-GL-GC-REVIEW</x:v>
      </x:c>
      <x:c r="D10" s="219" t="b">
        <x:v>0</x:v>
      </x:c>
      <x:c r="E10" s="185" t="str">
        <x:v>EVIDENCE_CONFLICT</x:v>
      </x:c>
      <x:c r="F10" s="185" t="str">
        <x:v>HIDE</x:v>
      </x:c>
      <x:c r="G10" s="185" t="str">
        <x:v>REVIEW_REQUIRED</x:v>
      </x:c>
      <x:c r="H10" s="186" t="str">
        <x:v>TW-EV-013</x:v>
      </x:c>
    </x:row>
    <x:row r="11">
      <x:c r="A11" s="184" t="str">
        <x:v>TW-GC-ARGON</x:v>
      </x:c>
      <x:c r="B11" s="185" t="str">
        <x:v>RPL_TW_SLD</x:v>
      </x:c>
      <x:c r="C11" s="185" t="str">
        <x:v>TW-GAS-ARGON</x:v>
      </x:c>
      <x:c r="D11" s="219" t="b">
        <x:v>1</x:v>
      </x:c>
      <x:c r="E11" s="185" t="str">
        <x:v>ALL</x:v>
      </x:c>
      <x:c r="F11" s="185" t="str">
        <x:v>SHOW</x:v>
      </x:c>
      <x:c r="G11" s="185" t="str">
        <x:v>COMPLETE</x:v>
      </x:c>
      <x:c r="H11" s="186" t="str">
        <x:v>TW-EV-005,006,008</x:v>
      </x:c>
    </x:row>
    <x:row r="12">
      <x:c r="A12" s="184" t="str">
        <x:v>TW-GC-KRYPTON</x:v>
      </x:c>
      <x:c r="B12" s="185" t="str">
        <x:v>RPL_TW_SLD</x:v>
      </x:c>
      <x:c r="C12" s="185" t="str">
        <x:v>TW-GAS-KRYPTON</x:v>
      </x:c>
      <x:c r="D12" s="219" t="b">
        <x:v>1</x:v>
      </x:c>
      <x:c r="E12" s="185" t="str">
        <x:v>ALL</x:v>
      </x:c>
      <x:c r="F12" s="185" t="str">
        <x:v>SHOW</x:v>
      </x:c>
      <x:c r="G12" s="185" t="str">
        <x:v>COMPLETE</x:v>
      </x:c>
      <x:c r="H12" s="186" t="str">
        <x:v>TW-EV-005,006,008</x:v>
      </x:c>
    </x:row>
    <x:row r="13">
      <x:c r="A13" s="187" t="str">
        <x:v>TW-GC-SPACER</x:v>
      </x:c>
      <x:c r="B13" s="188" t="str">
        <x:v>RPL_TW_SLD</x:v>
      </x:c>
      <x:c r="C13" s="188" t="str">
        <x:v>TW-SPACER-RESIN</x:v>
      </x:c>
      <x:c r="D13" s="200" t="b">
        <x:v>1</x:v>
      </x:c>
      <x:c r="E13" s="188" t="str">
        <x:v>FIXED</x:v>
      </x:c>
      <x:c r="F13" s="188" t="str">
        <x:v>SHOW_FIXED</x:v>
      </x:c>
      <x:c r="G13" s="188" t="str">
        <x:v>COMPLETE</x:v>
      </x:c>
      <x:c r="H13" s="189" t="str">
        <x:v>TW-EV-005,008</x:v>
      </x:c>
    </x:row>
    <x:row r="14">
      <x:c r="A14" s="144"/>
      <x:c r="B14" s="145"/>
      <x:c r="C14" s="145"/>
      <x:c r="D14" s="145"/>
      <x:c r="E14" s="145"/>
      <x:c r="F14" s="145"/>
      <x:c r="G14" s="145"/>
      <x:c r="H14" s="146"/>
    </x:row>
    <x:row r="15">
      <x:c r="A15" s="144"/>
      <x:c r="B15" s="145"/>
      <x:c r="C15" s="145"/>
      <x:c r="D15" s="145"/>
      <x:c r="E15" s="145"/>
      <x:c r="F15" s="145"/>
      <x:c r="G15" s="145"/>
      <x:c r="H15" s="146"/>
    </x:row>
    <x:row r="16">
      <x:c r="A16" s="144"/>
      <x:c r="B16" s="145"/>
      <x:c r="C16" s="145"/>
      <x:c r="D16" s="145"/>
      <x:c r="E16" s="145"/>
      <x:c r="F16" s="145"/>
      <x:c r="G16" s="145"/>
      <x:c r="H16" s="146"/>
    </x:row>
    <x:row r="17">
      <x:c r="A17" s="144"/>
      <x:c r="B17" s="145"/>
      <x:c r="C17" s="145"/>
      <x:c r="D17" s="145"/>
      <x:c r="E17" s="145"/>
      <x:c r="F17" s="145"/>
      <x:c r="G17" s="145"/>
      <x:c r="H17" s="146"/>
    </x:row>
    <x:row r="18">
      <x:c r="A18" s="144"/>
      <x:c r="B18" s="145"/>
      <x:c r="C18" s="145"/>
      <x:c r="D18" s="145"/>
      <x:c r="E18" s="145"/>
      <x:c r="F18" s="145"/>
      <x:c r="G18" s="145"/>
      <x:c r="H18" s="146"/>
    </x:row>
    <x:row r="19">
      <x:c r="A19" s="144"/>
      <x:c r="B19" s="145"/>
      <x:c r="C19" s="145"/>
      <x:c r="D19" s="145"/>
      <x:c r="E19" s="145"/>
      <x:c r="F19" s="145"/>
      <x:c r="G19" s="145"/>
      <x:c r="H19" s="146"/>
    </x:row>
    <x:row r="20">
      <x:c r="A20" s="144"/>
      <x:c r="B20" s="145"/>
      <x:c r="C20" s="145"/>
      <x:c r="D20" s="145"/>
      <x:c r="E20" s="145"/>
      <x:c r="F20" s="145"/>
      <x:c r="G20" s="145"/>
      <x:c r="H20" s="146"/>
    </x:row>
    <x:row r="21">
      <x:c r="A21" s="144"/>
      <x:c r="B21" s="145"/>
      <x:c r="C21" s="145"/>
      <x:c r="D21" s="145"/>
      <x:c r="E21" s="145"/>
      <x:c r="F21" s="145"/>
      <x:c r="G21" s="145"/>
      <x:c r="H21" s="146"/>
    </x:row>
    <x:row r="22">
      <x:c r="A22" s="144"/>
      <x:c r="B22" s="145"/>
      <x:c r="C22" s="145"/>
      <x:c r="D22" s="145"/>
      <x:c r="E22" s="145"/>
      <x:c r="F22" s="145"/>
      <x:c r="G22" s="145"/>
      <x:c r="H22" s="146"/>
    </x:row>
    <x:row r="23">
      <x:c r="A23" s="144"/>
      <x:c r="B23" s="145"/>
      <x:c r="C23" s="145"/>
      <x:c r="D23" s="145"/>
      <x:c r="E23" s="145"/>
      <x:c r="F23" s="145"/>
      <x:c r="G23" s="145"/>
      <x:c r="H23" s="146"/>
    </x:row>
    <x:row r="24">
      <x:c r="A24" s="144"/>
      <x:c r="B24" s="145"/>
      <x:c r="C24" s="145"/>
      <x:c r="D24" s="145"/>
      <x:c r="E24" s="145"/>
      <x:c r="F24" s="145"/>
      <x:c r="G24" s="145"/>
      <x:c r="H24" s="146"/>
    </x:row>
    <x:row r="25">
      <x:c r="A25" s="144"/>
      <x:c r="B25" s="145"/>
      <x:c r="C25" s="145"/>
      <x:c r="D25" s="145"/>
      <x:c r="E25" s="145"/>
      <x:c r="F25" s="145"/>
      <x:c r="G25" s="145"/>
      <x:c r="H25" s="146"/>
    </x:row>
    <x:row r="26">
      <x:c r="A26" s="144"/>
      <x:c r="B26" s="145"/>
      <x:c r="C26" s="145"/>
      <x:c r="D26" s="145"/>
      <x:c r="E26" s="145"/>
      <x:c r="F26" s="145"/>
      <x:c r="G26" s="145"/>
      <x:c r="H26" s="146"/>
    </x:row>
    <x:row r="27">
      <x:c r="A27" s="144"/>
      <x:c r="B27" s="145"/>
      <x:c r="C27" s="145"/>
      <x:c r="D27" s="145"/>
      <x:c r="E27" s="145"/>
      <x:c r="F27" s="145"/>
      <x:c r="G27" s="145"/>
      <x:c r="H27" s="146"/>
    </x:row>
    <x:row r="28">
      <x:c r="A28" s="144"/>
      <x:c r="B28" s="145"/>
      <x:c r="C28" s="145"/>
      <x:c r="D28" s="145"/>
      <x:c r="E28" s="145"/>
      <x:c r="F28" s="145"/>
      <x:c r="G28" s="145"/>
      <x:c r="H28" s="146"/>
    </x:row>
    <x:row r="29">
      <x:c r="A29" s="144"/>
      <x:c r="B29" s="145"/>
      <x:c r="C29" s="145"/>
      <x:c r="D29" s="145"/>
      <x:c r="E29" s="145"/>
      <x:c r="F29" s="145"/>
      <x:c r="G29" s="145"/>
      <x:c r="H29" s="146"/>
    </x:row>
    <x:row r="30">
      <x:c r="A30" s="144"/>
      <x:c r="B30" s="145"/>
      <x:c r="C30" s="145"/>
      <x:c r="D30" s="145"/>
      <x:c r="E30" s="145"/>
      <x:c r="F30" s="145"/>
      <x:c r="G30" s="145"/>
      <x:c r="H30" s="146"/>
    </x:row>
    <x:row r="31">
      <x:c r="A31" s="144"/>
      <x:c r="B31" s="145"/>
      <x:c r="C31" s="145"/>
      <x:c r="D31" s="145"/>
      <x:c r="E31" s="145"/>
      <x:c r="F31" s="145"/>
      <x:c r="G31" s="145"/>
      <x:c r="H31" s="146"/>
    </x:row>
    <x:row r="32">
      <x:c r="A32" s="144"/>
      <x:c r="B32" s="145"/>
      <x:c r="C32" s="145"/>
      <x:c r="D32" s="145"/>
      <x:c r="E32" s="145"/>
      <x:c r="F32" s="145"/>
      <x:c r="G32" s="145"/>
      <x:c r="H32" s="146"/>
    </x:row>
    <x:row r="33">
      <x:c r="A33" s="144"/>
      <x:c r="B33" s="145"/>
      <x:c r="C33" s="145"/>
      <x:c r="D33" s="145"/>
      <x:c r="E33" s="145"/>
      <x:c r="F33" s="145"/>
      <x:c r="G33" s="145"/>
      <x:c r="H33" s="146"/>
    </x:row>
    <x:row r="34">
      <x:c r="A34" s="144"/>
      <x:c r="B34" s="145"/>
      <x:c r="C34" s="145"/>
      <x:c r="D34" s="145"/>
      <x:c r="E34" s="145"/>
      <x:c r="F34" s="145"/>
      <x:c r="G34" s="145"/>
      <x:c r="H34" s="146"/>
    </x:row>
    <x:row r="35">
      <x:c r="A35" s="144"/>
      <x:c r="B35" s="145"/>
      <x:c r="C35" s="145"/>
      <x:c r="D35" s="145"/>
      <x:c r="E35" s="145"/>
      <x:c r="F35" s="145"/>
      <x:c r="G35" s="145"/>
      <x:c r="H35" s="146"/>
    </x:row>
    <x:row r="36">
      <x:c r="A36" s="144"/>
      <x:c r="B36" s="145"/>
      <x:c r="C36" s="145"/>
      <x:c r="D36" s="145"/>
      <x:c r="E36" s="145"/>
      <x:c r="F36" s="145"/>
      <x:c r="G36" s="145"/>
      <x:c r="H36" s="146"/>
    </x:row>
    <x:row r="37">
      <x:c r="A37" s="144"/>
      <x:c r="B37" s="145"/>
      <x:c r="C37" s="145"/>
      <x:c r="D37" s="145"/>
      <x:c r="E37" s="145"/>
      <x:c r="F37" s="145"/>
      <x:c r="G37" s="145"/>
      <x:c r="H37" s="146"/>
    </x:row>
    <x:row r="38">
      <x:c r="A38" s="144"/>
      <x:c r="B38" s="145"/>
      <x:c r="C38" s="145"/>
      <x:c r="D38" s="145"/>
      <x:c r="E38" s="145"/>
      <x:c r="F38" s="145"/>
      <x:c r="G38" s="145"/>
      <x:c r="H38" s="146"/>
    </x:row>
    <x:row r="39">
      <x:c r="A39" s="144"/>
      <x:c r="B39" s="145"/>
      <x:c r="C39" s="145"/>
      <x:c r="D39" s="145"/>
      <x:c r="E39" s="145"/>
      <x:c r="F39" s="145"/>
      <x:c r="G39" s="145"/>
      <x:c r="H39" s="146"/>
    </x:row>
    <x:row r="40">
      <x:c r="A40" s="144"/>
      <x:c r="B40" s="145"/>
      <x:c r="C40" s="145"/>
      <x:c r="D40" s="145"/>
      <x:c r="E40" s="145"/>
      <x:c r="F40" s="145"/>
      <x:c r="G40" s="145"/>
      <x:c r="H40" s="146"/>
    </x:row>
    <x:row r="41">
      <x:c r="A41" s="144"/>
      <x:c r="B41" s="145"/>
      <x:c r="C41" s="145"/>
      <x:c r="D41" s="145"/>
      <x:c r="E41" s="145"/>
      <x:c r="F41" s="145"/>
      <x:c r="G41" s="145"/>
      <x:c r="H41" s="146"/>
    </x:row>
    <x:row r="42">
      <x:c r="A42" s="147"/>
      <x:c r="B42" s="148"/>
      <x:c r="C42" s="148"/>
      <x:c r="D42" s="148"/>
      <x:c r="E42" s="148"/>
      <x:c r="F42" s="148"/>
      <x:c r="G42" s="148"/>
      <x:c r="H42" s="149"/>
    </x:row>
  </x:sheetData>
  <x:mergeCells>
    <x:mergeCell ref="A1:H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48" hidden="0" customWidth="1"/>
    <x:col min="3" max="3" width="22" hidden="0" customWidth="1"/>
    <x:col min="4" max="4" width="26" hidden="0" customWidth="1"/>
    <x:col min="5" max="5" width="58" hidden="0" customWidth="1"/>
    <x:col min="6" max="6" width="22" hidden="0" customWidth="1"/>
    <x:col min="7" max="7" width="22" hidden="0" customWidth="1"/>
    <x:col min="8" max="8" width="16" hidden="0" customWidth="1"/>
  </x:cols>
  <x:sheetData>
    <x:row r="1" ht="28" customHeight="1">
      <x:c r="A1" s="178" t="str">
        <x:v>09_その他OP｜TWタイプ</x:v>
      </x:c>
      <x:c r="B1" s="178"/>
      <x:c r="C1" s="178"/>
      <x:c r="D1" s="178"/>
      <x:c r="E1" s="178"/>
      <x:c r="F1" s="178"/>
      <x:c r="G1" s="178"/>
      <x:c r="H1" s="4"/>
    </x:row>
    <x:row r="3" ht="30" customHeight="1">
      <x:c r="A3" s="181" t="str">
        <x:v>option_id</x:v>
      </x:c>
      <x:c r="B3" s="182" t="str">
        <x:v>公式名称</x:v>
      </x:c>
      <x:c r="C3" s="182" t="str">
        <x:v>分類</x:v>
      </x:c>
      <x:c r="D3" s="182" t="str">
        <x:v>selection_role</x:v>
      </x:c>
      <x:c r="E3" s="182" t="str">
        <x:v>主要条件</x:v>
      </x:c>
      <x:c r="F3" s="182" t="str">
        <x:v>status</x:v>
      </x:c>
      <x:c r="G3" s="183" t="str">
        <x:v>evidence</x:v>
      </x:c>
      <x:c r="H3" s="34"/>
    </x:row>
    <x:row r="4">
      <x:c r="A4" s="184" t="str">
        <x:v>TW-OP-UPPER-BASE</x:v>
      </x:c>
      <x:c r="B4" s="185" t="str">
        <x:v>既設上枠ベース材</x:v>
      </x:c>
      <x:c r="C4" s="185" t="str">
        <x:v>施工部材</x:v>
      </x:c>
      <x:c r="D4" s="185" t="str">
        <x:v>CONDITIONAL_REQUIRED</x:v>
      </x:c>
      <x:c r="E4" s="185" t="str">
        <x:v>内嵌め施工時</x:v>
      </x:c>
      <x:c r="F4" s="185" t="str">
        <x:v>COMPLETE</x:v>
      </x:c>
      <x:c r="G4" s="186" t="str">
        <x:v>TW-EV-005,006</x:v>
      </x:c>
      <x:c r="H4" s="37"/>
    </x:row>
    <x:row r="5">
      <x:c r="A5" s="184" t="str">
        <x:v>TW-OP-ANGLE-MITER</x:v>
      </x:c>
      <x:c r="B5" s="185" t="str">
        <x:v>樹脂アングルカバー（見切材付）</x:v>
      </x:c>
      <x:c r="C5" s="185" t="str">
        <x:v>室内部材</x:v>
      </x:c>
      <x:c r="D5" s="185" t="str">
        <x:v>USER_SELECT</x:v>
      </x:c>
      <x:c r="E5" s="185" t="str">
        <x:v>設定あり</x:v>
      </x:c>
      <x:c r="F5" s="185" t="str">
        <x:v>COMPLETE</x:v>
      </x:c>
      <x:c r="G5" s="186" t="str">
        <x:v>TW-EV-009,011</x:v>
      </x:c>
      <x:c r="H5" s="37"/>
    </x:row>
    <x:row r="6">
      <x:c r="A6" s="184" t="str">
        <x:v>TW-OP-ANGLE-NOMITER</x:v>
      </x:c>
      <x:c r="B6" s="185" t="str">
        <x:v>樹脂アングルカバー（見切材無）</x:v>
      </x:c>
      <x:c r="C6" s="185" t="str">
        <x:v>室内部材</x:v>
      </x:c>
      <x:c r="D6" s="185" t="str">
        <x:v>USER_SELECT</x:v>
      </x:c>
      <x:c r="E6" s="185" t="str">
        <x:v>設定あり</x:v>
      </x:c>
      <x:c r="F6" s="185" t="str">
        <x:v>COMPLETE</x:v>
      </x:c>
      <x:c r="G6" s="186" t="str">
        <x:v>TW-EV-009,011</x:v>
      </x:c>
      <x:c r="H6" s="37"/>
    </x:row>
    <x:row r="7">
      <x:c r="A7" s="184" t="str">
        <x:v>TW-OP-ANGLE-TER</x:v>
      </x:c>
      <x:c r="B7" s="185" t="str">
        <x:v>樹脂アングルカバー テラス用（見切材付）</x:v>
      </x:c>
      <x:c r="C7" s="185" t="str">
        <x:v>室内部材</x:v>
      </x:c>
      <x:c r="D7" s="185" t="str">
        <x:v>USER_SELECT</x:v>
      </x:c>
      <x:c r="E7" s="185" t="str">
        <x:v>テラス用</x:v>
      </x:c>
      <x:c r="F7" s="185" t="str">
        <x:v>COMPLETE</x:v>
      </x:c>
      <x:c r="G7" s="186" t="str">
        <x:v>TW-EV-009,011</x:v>
      </x:c>
      <x:c r="H7" s="37"/>
    </x:row>
    <x:row r="8">
      <x:c r="A8" s="184" t="str">
        <x:v>TW-OP-CASING</x:v>
      </x:c>
      <x:c r="B8" s="185" t="str">
        <x:v>カバー用ケーシング</x:v>
      </x:c>
      <x:c r="C8" s="185" t="str">
        <x:v>室内部材</x:v>
      </x:c>
      <x:c r="D8" s="185" t="str">
        <x:v>USER_SELECT</x:v>
      </x:c>
      <x:c r="E8" s="185" t="str">
        <x:v>樹脂アングルカバーを使わない場合</x:v>
      </x:c>
      <x:c r="F8" s="185" t="str">
        <x:v>COMPLETE</x:v>
      </x:c>
      <x:c r="G8" s="186" t="str">
        <x:v>TW-EV-009,011</x:v>
      </x:c>
      <x:c r="H8" s="37"/>
    </x:row>
    <x:row r="9">
      <x:c r="A9" s="184" t="str">
        <x:v>TW-OP-SIDE-COVER</x:v>
      </x:c>
      <x:c r="B9" s="185" t="str">
        <x:v>サイド化粧カバー</x:v>
      </x:c>
      <x:c r="C9" s="185" t="str">
        <x:v>室外部材</x:v>
      </x:c>
      <x:c r="D9" s="185" t="str">
        <x:v>USER_SELECT</x:v>
      </x:c>
      <x:c r="E9" s="185" t="str">
        <x:v>設定あり</x:v>
      </x:c>
      <x:c r="F9" s="185" t="str">
        <x:v>COMPLETE</x:v>
      </x:c>
      <x:c r="G9" s="186" t="str">
        <x:v>TW-EV-009</x:v>
      </x:c>
      <x:c r="H9" s="37"/>
    </x:row>
    <x:row r="10">
      <x:c r="A10" s="184" t="str">
        <x:v>TW-OP-LARGE-HANDLE</x:v>
      </x:c>
      <x:c r="B10" s="185" t="str">
        <x:v>大型把手</x:v>
      </x:c>
      <x:c r="C10" s="185" t="str">
        <x:v>把手</x:v>
      </x:c>
      <x:c r="D10" s="185" t="str">
        <x:v>USER_SELECT</x:v>
      </x:c>
      <x:c r="E10" s="185" t="str">
        <x:v>把手障子のみ</x:v>
      </x:c>
      <x:c r="F10" s="185" t="str">
        <x:v>COMPLETE</x:v>
      </x:c>
      <x:c r="G10" s="186" t="str">
        <x:v>TW-EV-005,009</x:v>
      </x:c>
      <x:c r="H10" s="37"/>
    </x:row>
    <x:row r="11">
      <x:c r="A11" s="184" t="str">
        <x:v>TW-OP-SMALL-STOP-70</x:v>
      </x:c>
      <x:c r="B11" s="185" t="str">
        <x:v>小開口ストッパー 70mm</x:v>
      </x:c>
      <x:c r="C11" s="185" t="str">
        <x:v>開口制限</x:v>
      </x:c>
      <x:c r="D11" s="185" t="str">
        <x:v>USER_SELECT</x:v>
      </x:c>
      <x:c r="E11" s="185" t="str">
        <x:v>2枚建のみ</x:v>
      </x:c>
      <x:c r="F11" s="185" t="str">
        <x:v>COMPLETE</x:v>
      </x:c>
      <x:c r="G11" s="186" t="str">
        <x:v>TW-EV-009,010</x:v>
      </x:c>
      <x:c r="H11" s="37"/>
    </x:row>
    <x:row r="12">
      <x:c r="A12" s="184" t="str">
        <x:v>TW-OP-SMALL-STOP-110</x:v>
      </x:c>
      <x:c r="B12" s="185" t="str">
        <x:v>小開口ストッパー 110mm</x:v>
      </x:c>
      <x:c r="C12" s="185" t="str">
        <x:v>開口制限</x:v>
      </x:c>
      <x:c r="D12" s="185" t="str">
        <x:v>USER_SELECT</x:v>
      </x:c>
      <x:c r="E12" s="185" t="str">
        <x:v>2枚建のみ</x:v>
      </x:c>
      <x:c r="F12" s="185" t="str">
        <x:v>COMPLETE</x:v>
      </x:c>
      <x:c r="G12" s="186" t="str">
        <x:v>TW-EV-009,010</x:v>
      </x:c>
      <x:c r="H12" s="37"/>
    </x:row>
    <x:row r="13">
      <x:c r="A13" s="184" t="str">
        <x:v>TW-OP-DEDICATED-CRESCENT</x:v>
      </x:c>
      <x:c r="B13" s="185" t="str">
        <x:v>小開口ストッパー用専用クレセント</x:v>
      </x:c>
      <x:c r="C13" s="185" t="str">
        <x:v>施錠</x:v>
      </x:c>
      <x:c r="D13" s="185" t="str">
        <x:v>CONDITIONAL_REQUIRED</x:v>
      </x:c>
      <x:c r="E13" s="185" t="str">
        <x:v>小開口ストッパー選択時</x:v>
      </x:c>
      <x:c r="F13" s="185" t="str">
        <x:v>COMPLETE</x:v>
      </x:c>
      <x:c r="G13" s="186" t="str">
        <x:v>TW-EV-010</x:v>
      </x:c>
      <x:c r="H13" s="37"/>
    </x:row>
    <x:row r="14">
      <x:c r="A14" s="184" t="str">
        <x:v>TW-OP-SMART-CRESCENT</x:v>
      </x:c>
      <x:c r="B14" s="185" t="str">
        <x:v>スマートクレセント</x:v>
      </x:c>
      <x:c r="C14" s="185" t="str">
        <x:v>施錠</x:v>
      </x:c>
      <x:c r="D14" s="185" t="str">
        <x:v>USER_SELECT</x:v>
      </x:c>
      <x:c r="E14" s="185" t="str">
        <x:v>小開口ストッパーと併用不可</x:v>
      </x:c>
      <x:c r="F14" s="185" t="str">
        <x:v>COMPLETE</x:v>
      </x:c>
      <x:c r="G14" s="186" t="str">
        <x:v>TW-EV-009,010</x:v>
      </x:c>
      <x:c r="H14" s="40"/>
    </x:row>
    <x:row r="15">
      <x:c r="A15" s="184" t="str">
        <x:v>TW-OP-GRILLE-V</x:v>
      </x:c>
      <x:c r="B15" s="185" t="str">
        <x:v>縦面格子</x:v>
      </x:c>
      <x:c r="C15" s="185" t="str">
        <x:v>面格子</x:v>
      </x:c>
      <x:c r="D15" s="185" t="str">
        <x:v>USER_SELECT</x:v>
      </x:c>
      <x:c r="E15" s="185" t="str">
        <x:v>設定あり</x:v>
      </x:c>
      <x:c r="F15" s="185" t="str">
        <x:v>COMPLETE</x:v>
      </x:c>
      <x:c r="G15" s="186" t="str">
        <x:v>TW-EV-009,011</x:v>
      </x:c>
    </x:row>
    <x:row r="16">
      <x:c r="A16" s="184" t="str">
        <x:v>TW-OP-GRILLE-H</x:v>
      </x:c>
      <x:c r="B16" s="185" t="str">
        <x:v>横面格子</x:v>
      </x:c>
      <x:c r="C16" s="185" t="str">
        <x:v>面格子</x:v>
      </x:c>
      <x:c r="D16" s="185" t="str">
        <x:v>USER_SELECT</x:v>
      </x:c>
      <x:c r="E16" s="185" t="str">
        <x:v>設定あり</x:v>
      </x:c>
      <x:c r="F16" s="185" t="str">
        <x:v>COMPLETE</x:v>
      </x:c>
      <x:c r="G16" s="186" t="str">
        <x:v>TW-EV-009,011</x:v>
      </x:c>
    </x:row>
    <x:row r="17">
      <x:c r="A17" s="184" t="str">
        <x:v>TW-OP-GRILLE-DIA</x:v>
      </x:c>
      <x:c r="B17" s="185" t="str">
        <x:v>ヒシクロス面格子</x:v>
      </x:c>
      <x:c r="C17" s="185" t="str">
        <x:v>面格子</x:v>
      </x:c>
      <x:c r="D17" s="185" t="str">
        <x:v>USER_SELECT</x:v>
      </x:c>
      <x:c r="E17" s="185" t="str">
        <x:v>設定あり</x:v>
      </x:c>
      <x:c r="F17" s="185" t="str">
        <x:v>COMPLETE</x:v>
      </x:c>
      <x:c r="G17" s="186" t="str">
        <x:v>TW-EV-009,011</x:v>
      </x:c>
    </x:row>
    <x:row r="18">
      <x:c r="A18" s="184" t="str">
        <x:v>TW-OP-GRILLE-IGETA</x:v>
      </x:c>
      <x:c r="B18" s="185" t="str">
        <x:v>井桁面格子</x:v>
      </x:c>
      <x:c r="C18" s="185" t="str">
        <x:v>面格子</x:v>
      </x:c>
      <x:c r="D18" s="185" t="str">
        <x:v>USER_SELECT</x:v>
      </x:c>
      <x:c r="E18" s="185" t="str">
        <x:v>設定あり</x:v>
      </x:c>
      <x:c r="F18" s="185" t="str">
        <x:v>COMPLETE</x:v>
      </x:c>
      <x:c r="G18" s="186" t="str">
        <x:v>TW-EV-009,011</x:v>
      </x:c>
    </x:row>
    <x:row r="19">
      <x:c r="A19" s="184" t="str">
        <x:v>TW-OP-DEPTH</x:v>
      </x:c>
      <x:c r="B19" s="185" t="str">
        <x:v>見込みふかし部材</x:v>
      </x:c>
      <x:c r="C19" s="185" t="str">
        <x:v>室内部材</x:v>
      </x:c>
      <x:c r="D19" s="185" t="str">
        <x:v>NOT_APPLICABLE</x:v>
      </x:c>
      <x:c r="E19" s="185" t="str">
        <x:v>TWタイプ取付不可</x:v>
      </x:c>
      <x:c r="F19" s="185" t="str">
        <x:v>NOT_APPLICABLE</x:v>
      </x:c>
      <x:c r="G19" s="186" t="str">
        <x:v>TW-EV-009</x:v>
      </x:c>
    </x:row>
    <x:row r="20">
      <x:c r="A20" s="184" t="str">
        <x:v>TW-OP-UPPER-VENT</x:v>
      </x:c>
      <x:c r="B20" s="185" t="str">
        <x:v>上枠一体換気部材</x:v>
      </x:c>
      <x:c r="C20" s="185" t="str">
        <x:v>換気</x:v>
      </x:c>
      <x:c r="D20" s="185" t="str">
        <x:v>NOT_APPLICABLE</x:v>
      </x:c>
      <x:c r="E20" s="185" t="str">
        <x:v>TWタイプ取付不可</x:v>
      </x:c>
      <x:c r="F20" s="185" t="str">
        <x:v>NOT_APPLICABLE</x:v>
      </x:c>
      <x:c r="G20" s="186" t="str">
        <x:v>TW-EV-009</x:v>
      </x:c>
    </x:row>
    <x:row r="21">
      <x:c r="A21" s="184" t="str">
        <x:v>TW-OP-ASSIST</x:v>
      </x:c>
      <x:c r="B21" s="185" t="str">
        <x:v>アシスト把手</x:v>
      </x:c>
      <x:c r="C21" s="185" t="str">
        <x:v>把手</x:v>
      </x:c>
      <x:c r="D21" s="185" t="str">
        <x:v>NOT_APPLICABLE</x:v>
      </x:c>
      <x:c r="E21" s="185" t="str">
        <x:v>EWタイプ専用</x:v>
      </x:c>
      <x:c r="F21" s="185" t="str">
        <x:v>NOT_APPLICABLE</x:v>
      </x:c>
      <x:c r="G21" s="186" t="str">
        <x:v>TW-EV-009</x:v>
      </x:c>
    </x:row>
    <x:row r="22">
      <x:c r="A22" s="187" t="str">
        <x:v>TW-OP-INTERIOR-RESIN-COVER</x:v>
      </x:c>
      <x:c r="B22" s="188" t="str">
        <x:v>室内樹脂カバー</x:v>
      </x:c>
      <x:c r="C22" s="188" t="str">
        <x:v>室内部材</x:v>
      </x:c>
      <x:c r="D22" s="188" t="str">
        <x:v>NOT_APPLICABLE</x:v>
      </x:c>
      <x:c r="E22" s="188" t="str">
        <x:v>EWタイプ専用</x:v>
      </x:c>
      <x:c r="F22" s="188" t="str">
        <x:v>NOT_APPLICABLE</x:v>
      </x:c>
      <x:c r="G22" s="189" t="str">
        <x:v>TW-EV-009</x:v>
      </x:c>
    </x:row>
  </x:sheetData>
  <x:mergeCells>
    <x:mergeCell ref="A1:H1"/>
    <x:mergeCell ref="A1:F1"/>
    <x:mergeCell ref="A1:G1"/>
  </x:mergeCells>
  <x:pageMargins left="0.7" right="0.7" top="0.75" bottom="0.75" header="0.3" footer="0.3"/>
</x:worksheet>
</file>

<file path=xl/worksheets/sheet21.xml><?xml version="1.0" encoding="utf-8"?>
<x:worksheet xmlns:x="http://schemas.openxmlformats.org/spreadsheetml/2006/main">
  <x:sheetFormatPr defaultRowHeight="15"/>
  <x:cols>
    <x:col min="1" max="1" width="20" hidden="0" customWidth="1"/>
    <x:col min="2" max="2" width="30" hidden="0" customWidth="1"/>
    <x:col min="3" max="3" width="24" hidden="0" customWidth="1"/>
    <x:col min="4" max="4" width="24" hidden="0" customWidth="1"/>
    <x:col min="5" max="5" width="44" hidden="0" customWidth="1"/>
    <x:col min="6" max="6" width="58" hidden="0" customWidth="1"/>
    <x:col min="7" max="7" width="18" hidden="0" customWidth="1"/>
    <x:col min="8" max="8" width="20" hidden="0" customWidth="1"/>
  </x:cols>
  <x:sheetData>
    <x:row r="1" ht="28" customHeight="1">
      <x:c r="A1" s="178" t="str">
        <x:v>09A_OP依存関係｜TWタイプ</x:v>
      </x:c>
      <x:c r="B1" s="178"/>
      <x:c r="C1" s="178"/>
      <x:c r="D1" s="178"/>
      <x:c r="E1" s="178"/>
      <x:c r="F1" s="178"/>
      <x:c r="G1" s="178"/>
      <x:c r="H1" s="178"/>
    </x:row>
    <x:row r="3" ht="30" customHeight="1">
      <x:c r="A3" s="181" t="str">
        <x:v>dependency_id</x:v>
      </x:c>
      <x:c r="B3" s="182" t="str">
        <x:v>option_id</x:v>
      </x:c>
      <x:c r="C3" s="182" t="str">
        <x:v>target_window</x:v>
      </x:c>
      <x:c r="D3" s="182" t="str">
        <x:v>relation</x:v>
      </x:c>
      <x:c r="E3" s="182" t="str">
        <x:v>condition/value</x:v>
      </x:c>
      <x:c r="F3" s="182" t="str">
        <x:v>action_note</x:v>
      </x:c>
      <x:c r="G3" s="182" t="str">
        <x:v>status</x:v>
      </x:c>
      <x:c r="H3" s="183" t="str">
        <x:v>evidence</x:v>
      </x:c>
    </x:row>
    <x:row r="4">
      <x:c r="A4" s="184" t="str">
        <x:v>TW-OD-001</x:v>
      </x:c>
      <x:c r="B4" s="185" t="str">
        <x:v>TW-OP-UPPER-BASE</x:v>
      </x:c>
      <x:c r="C4" s="185" t="str">
        <x:v>RPL_TW_SLD</x:v>
      </x:c>
      <x:c r="D4" s="185" t="str">
        <x:v>REQUIRED_IF</x:v>
      </x:c>
      <x:c r="E4" s="185" t="str">
        <x:v>installation_method=INNER_FIT</x:v>
      </x:c>
      <x:c r="F4" s="185" t="str">
        <x:v>内嵌め施工なら必須</x:v>
      </x:c>
      <x:c r="G4" s="185" t="str">
        <x:v>COMPLETE</x:v>
      </x:c>
      <x:c r="H4" s="186" t="str">
        <x:v>TW-EV-005,006</x:v>
      </x:c>
    </x:row>
    <x:row r="5">
      <x:c r="A5" s="184" t="str">
        <x:v>TW-OD-002</x:v>
      </x:c>
      <x:c r="B5" s="185" t="str">
        <x:v>TW-OP-LARGE-HANDLE</x:v>
      </x:c>
      <x:c r="C5" s="185" t="str">
        <x:v>RPL_TW_SLD</x:v>
      </x:c>
      <x:c r="D5" s="185" t="str">
        <x:v>REQUIRES</x:v>
      </x:c>
      <x:c r="E5" s="185" t="str">
        <x:v>sash_configuration=把手障子</x:v>
      </x:c>
      <x:c r="F5" s="185" t="str">
        <x:v>把手障子のみ候補表示</x:v>
      </x:c>
      <x:c r="G5" s="185" t="str">
        <x:v>COMPLETE</x:v>
      </x:c>
      <x:c r="H5" s="186" t="str">
        <x:v>TW-EV-005,009</x:v>
      </x:c>
    </x:row>
    <x:row r="6">
      <x:c r="A6" s="184" t="str">
        <x:v>TW-OD-003</x:v>
      </x:c>
      <x:c r="B6" s="185" t="str">
        <x:v>TW-OP-SMALL-STOP-70</x:v>
      </x:c>
      <x:c r="C6" s="185" t="str">
        <x:v>RPL_TW_SLD</x:v>
      </x:c>
      <x:c r="D6" s="185" t="str">
        <x:v>PROHIBITS</x:v>
      </x:c>
      <x:c r="E6" s="185" t="str">
        <x:v>panel_configuration=4枚建</x:v>
      </x:c>
      <x:c r="F6" s="185" t="str">
        <x:v>4枚建は非表示</x:v>
      </x:c>
      <x:c r="G6" s="185" t="str">
        <x:v>COMPLETE</x:v>
      </x:c>
      <x:c r="H6" s="186" t="str">
        <x:v>TW-EV-010</x:v>
      </x:c>
    </x:row>
    <x:row r="7">
      <x:c r="A7" s="184" t="str">
        <x:v>TW-OD-004</x:v>
      </x:c>
      <x:c r="B7" s="185" t="str">
        <x:v>TW-OP-SMALL-STOP-110</x:v>
      </x:c>
      <x:c r="C7" s="185" t="str">
        <x:v>RPL_TW_SLD</x:v>
      </x:c>
      <x:c r="D7" s="185" t="str">
        <x:v>PROHIBITS</x:v>
      </x:c>
      <x:c r="E7" s="185" t="str">
        <x:v>panel_configuration=4枚建</x:v>
      </x:c>
      <x:c r="F7" s="185" t="str">
        <x:v>4枚建は非表示</x:v>
      </x:c>
      <x:c r="G7" s="185" t="str">
        <x:v>COMPLETE</x:v>
      </x:c>
      <x:c r="H7" s="186" t="str">
        <x:v>TW-EV-010</x:v>
      </x:c>
    </x:row>
    <x:row r="8">
      <x:c r="A8" s="184" t="str">
        <x:v>TW-OD-005</x:v>
      </x:c>
      <x:c r="B8" s="185" t="str">
        <x:v>TW-OP-SMALL-STOP-70</x:v>
      </x:c>
      <x:c r="C8" s="185" t="str">
        <x:v>RPL_TW_SLD</x:v>
      </x:c>
      <x:c r="D8" s="185" t="str">
        <x:v>REQUIRES</x:v>
      </x:c>
      <x:c r="E8" s="185" t="str">
        <x:v>TW-OP-DEDICATED-CRESCENT</x:v>
      </x:c>
      <x:c r="F8" s="185" t="str">
        <x:v>専用クレセント必須</x:v>
      </x:c>
      <x:c r="G8" s="185" t="str">
        <x:v>COMPLETE</x:v>
      </x:c>
      <x:c r="H8" s="186" t="str">
        <x:v>TW-EV-010</x:v>
      </x:c>
    </x:row>
    <x:row r="9">
      <x:c r="A9" s="184" t="str">
        <x:v>TW-OD-006</x:v>
      </x:c>
      <x:c r="B9" s="185" t="str">
        <x:v>TW-OP-SMALL-STOP-110</x:v>
      </x:c>
      <x:c r="C9" s="185" t="str">
        <x:v>RPL_TW_SLD</x:v>
      </x:c>
      <x:c r="D9" s="185" t="str">
        <x:v>REQUIRES</x:v>
      </x:c>
      <x:c r="E9" s="185" t="str">
        <x:v>TW-OP-DEDICATED-CRESCENT</x:v>
      </x:c>
      <x:c r="F9" s="185" t="str">
        <x:v>専用クレセント必須</x:v>
      </x:c>
      <x:c r="G9" s="185" t="str">
        <x:v>COMPLETE</x:v>
      </x:c>
      <x:c r="H9" s="186" t="str">
        <x:v>TW-EV-010</x:v>
      </x:c>
    </x:row>
    <x:row r="10">
      <x:c r="A10" s="184" t="str">
        <x:v>TW-OD-007</x:v>
      </x:c>
      <x:c r="B10" s="185" t="str">
        <x:v>TW-OP-SMALL-STOP-70</x:v>
      </x:c>
      <x:c r="C10" s="185" t="str">
        <x:v>RPL_TW_SLD</x:v>
      </x:c>
      <x:c r="D10" s="185" t="str">
        <x:v>INCOMPATIBLE</x:v>
      </x:c>
      <x:c r="E10" s="185" t="str">
        <x:v>TW-OP-SMART-CRESCENT</x:v>
      </x:c>
      <x:c r="F10" s="185" t="str">
        <x:v>併用不可</x:v>
      </x:c>
      <x:c r="G10" s="185" t="str">
        <x:v>COMPLETE</x:v>
      </x:c>
      <x:c r="H10" s="186" t="str">
        <x:v>TW-EV-010</x:v>
      </x:c>
    </x:row>
    <x:row r="11">
      <x:c r="A11" s="184" t="str">
        <x:v>TW-OD-008</x:v>
      </x:c>
      <x:c r="B11" s="185" t="str">
        <x:v>TW-OP-SMALL-STOP-110</x:v>
      </x:c>
      <x:c r="C11" s="185" t="str">
        <x:v>RPL_TW_SLD</x:v>
      </x:c>
      <x:c r="D11" s="185" t="str">
        <x:v>INCOMPATIBLE</x:v>
      </x:c>
      <x:c r="E11" s="185" t="str">
        <x:v>TW-OP-SMART-CRESCENT</x:v>
      </x:c>
      <x:c r="F11" s="185" t="str">
        <x:v>併用不可</x:v>
      </x:c>
      <x:c r="G11" s="185" t="str">
        <x:v>COMPLETE</x:v>
      </x:c>
      <x:c r="H11" s="186" t="str">
        <x:v>TW-EV-010</x:v>
      </x:c>
    </x:row>
    <x:row r="12">
      <x:c r="A12" s="184" t="str">
        <x:v>TW-OD-009</x:v>
      </x:c>
      <x:c r="B12" s="185" t="str">
        <x:v>TW-OP-CASING</x:v>
      </x:c>
      <x:c r="C12" s="185" t="str">
        <x:v>RPL_TW_SLD</x:v>
      </x:c>
      <x:c r="D12" s="185" t="str">
        <x:v>INCOMPATIBLE</x:v>
      </x:c>
      <x:c r="E12" s="185" t="str">
        <x:v>TW-OP-ANGLE-MITER / TW-OP-ANGLE-NOMITER</x:v>
      </x:c>
      <x:c r="F12" s="185" t="str">
        <x:v>併用不可</x:v>
      </x:c>
      <x:c r="G12" s="185" t="str">
        <x:v>COMPLETE</x:v>
      </x:c>
      <x:c r="H12" s="186" t="str">
        <x:v>TW-EV-009</x:v>
      </x:c>
    </x:row>
    <x:row r="13">
      <x:c r="A13" s="184" t="str">
        <x:v>TW-OD-010</x:v>
      </x:c>
      <x:c r="B13" s="185" t="str">
        <x:v>TW-OP-DEPTH</x:v>
      </x:c>
      <x:c r="C13" s="185" t="str">
        <x:v>RPL_TW_SLD</x:v>
      </x:c>
      <x:c r="D13" s="185" t="str">
        <x:v>PROHIBITED_FOR_VARIATION</x:v>
      </x:c>
      <x:c r="E13" s="185" t="str">
        <x:v>RPL_TW</x:v>
      </x:c>
      <x:c r="F13" s="185" t="str">
        <x:v>常時非表示</x:v>
      </x:c>
      <x:c r="G13" s="185" t="str">
        <x:v>COMPLETE</x:v>
      </x:c>
      <x:c r="H13" s="186" t="str">
        <x:v>TW-EV-009</x:v>
      </x:c>
    </x:row>
    <x:row r="14">
      <x:c r="A14" s="184" t="str">
        <x:v>TW-OD-011</x:v>
      </x:c>
      <x:c r="B14" s="185" t="str">
        <x:v>TW-OP-UPPER-VENT</x:v>
      </x:c>
      <x:c r="C14" s="185" t="str">
        <x:v>RPL_TW_SLD</x:v>
      </x:c>
      <x:c r="D14" s="185" t="str">
        <x:v>PROHIBITED_FOR_VARIATION</x:v>
      </x:c>
      <x:c r="E14" s="185" t="str">
        <x:v>RPL_TW</x:v>
      </x:c>
      <x:c r="F14" s="185" t="str">
        <x:v>常時非表示</x:v>
      </x:c>
      <x:c r="G14" s="185" t="str">
        <x:v>COMPLETE</x:v>
      </x:c>
      <x:c r="H14" s="186" t="str">
        <x:v>TW-EV-009</x:v>
      </x:c>
    </x:row>
    <x:row r="15">
      <x:c r="A15" s="184" t="str">
        <x:v>TW-OD-012</x:v>
      </x:c>
      <x:c r="B15" s="185" t="str">
        <x:v>TW-OP-ASSIST</x:v>
      </x:c>
      <x:c r="C15" s="185" t="str">
        <x:v>RPL_TW_SLD</x:v>
      </x:c>
      <x:c r="D15" s="185" t="str">
        <x:v>PROHIBITED_FOR_VARIATION</x:v>
      </x:c>
      <x:c r="E15" s="185" t="str">
        <x:v>RPL_TW</x:v>
      </x:c>
      <x:c r="F15" s="185" t="str">
        <x:v>常時非表示</x:v>
      </x:c>
      <x:c r="G15" s="185" t="str">
        <x:v>COMPLETE</x:v>
      </x:c>
      <x:c r="H15" s="186" t="str">
        <x:v>TW-EV-009</x:v>
      </x:c>
    </x:row>
    <x:row r="16">
      <x:c r="A16" s="187" t="str">
        <x:v>TW-OD-013</x:v>
      </x:c>
      <x:c r="B16" s="188" t="str">
        <x:v>TW-OP-INTERIOR-RESIN-COVER</x:v>
      </x:c>
      <x:c r="C16" s="188" t="str">
        <x:v>RPL_TW_SLD</x:v>
      </x:c>
      <x:c r="D16" s="188" t="str">
        <x:v>PROHIBITED_FOR_VARIATION</x:v>
      </x:c>
      <x:c r="E16" s="188" t="str">
        <x:v>RPL_TW</x:v>
      </x:c>
      <x:c r="F16" s="188" t="str">
        <x:v>常時非表示</x:v>
      </x:c>
      <x:c r="G16" s="188" t="str">
        <x:v>COMPLETE</x:v>
      </x:c>
      <x:c r="H16" s="189" t="str">
        <x:v>TW-EV-009</x:v>
      </x:c>
    </x:row>
  </x:sheetData>
  <x:mergeCells>
    <x:mergeCell ref="A1:H1"/>
  </x:mergeCells>
  <x:pageMargins left="0.7" right="0.7" top="0.75" bottom="0.75" header="0.3" footer="0.3"/>
</x:worksheet>
</file>

<file path=xl/worksheets/sheet22.xml><?xml version="1.0" encoding="utf-8"?>
<x:worksheet xmlns:x="http://schemas.openxmlformats.org/spreadsheetml/2006/main">
  <x:sheetFormatPr defaultRowHeight="15"/>
  <x:cols>
    <x:col min="1" max="1" width="26" hidden="0" customWidth="1"/>
    <x:col min="2" max="2" width="28" hidden="0" customWidth="1"/>
    <x:col min="3" max="3" width="34" hidden="0" customWidth="1"/>
    <x:col min="4" max="4" width="26" hidden="0" customWidth="1"/>
    <x:col min="5" max="5" width="54" hidden="0" customWidth="1"/>
    <x:col min="6" max="6" width="54" hidden="0" customWidth="1"/>
    <x:col min="7" max="7" width="30" hidden="0" customWidth="1"/>
    <x:col min="8" max="8" width="20" hidden="0" customWidth="1"/>
  </x:cols>
  <x:sheetData>
    <x:row r="1" ht="28" customHeight="1">
      <x:c r="A1" s="178" t="str">
        <x:v>10_適用条件｜TWタイプ</x:v>
      </x:c>
      <x:c r="B1" s="178"/>
      <x:c r="C1" s="178"/>
      <x:c r="D1" s="178"/>
      <x:c r="E1" s="178"/>
      <x:c r="F1" s="178"/>
      <x:c r="G1" s="178"/>
      <x:c r="H1" s="178"/>
    </x:row>
    <x:row r="2" ht="36" customHeight="1">
      <x:c r="A2" s="179" t="str">
        <x:v>構造・防火・既設窓基本互換は共通参照。TW固有の枠見込み・下枠・施工条件だけをローカル追加。</x:v>
      </x:c>
      <x:c r="B2" s="179"/>
      <x:c r="C2" s="179"/>
      <x:c r="D2" s="179"/>
      <x:c r="E2" s="179"/>
      <x:c r="F2" s="179"/>
      <x:c r="G2" s="179"/>
      <x:c r="H2" s="179"/>
    </x:row>
    <x:row r="3" ht="30" customHeight="1">
      <x:c r="A3" s="32"/>
      <x:c r="B3" s="33"/>
      <x:c r="C3" s="33"/>
      <x:c r="D3" s="33"/>
      <x:c r="E3" s="33"/>
      <x:c r="F3" s="33"/>
      <x:c r="G3" s="34"/>
    </x:row>
    <x:row r="4">
      <x:c r="A4" s="224" t="str">
        <x:v>rule_id</x:v>
      </x:c>
      <x:c r="B4" s="225" t="str">
        <x:v>condition_type</x:v>
      </x:c>
      <x:c r="C4" s="225" t="str">
        <x:v>value</x:v>
      </x:c>
      <x:c r="D4" s="225" t="str">
        <x:v>result</x:v>
      </x:c>
      <x:c r="E4" s="225" t="str">
        <x:v>condition_note</x:v>
      </x:c>
      <x:c r="F4" s="225" t="str">
        <x:v>action</x:v>
      </x:c>
      <x:c r="G4" s="225" t="str">
        <x:v>status</x:v>
      </x:c>
      <x:c r="H4" s="183" t="str">
        <x:v>evidence</x:v>
      </x:c>
    </x:row>
    <x:row r="5">
      <x:c r="A5" s="184" t="str">
        <x:v>TW-AP-SHARED-STRUCTURE</x:v>
      </x:c>
      <x:c r="B5" s="185" t="str">
        <x:v>shared_rule</x:v>
      </x:c>
      <x:c r="C5" s="185" t="str">
        <x:v>SHARED-RPL-STRUCTURE-FIRE</x:v>
      </x:c>
      <x:c r="D5" s="185" t="str">
        <x:v>REFERENCE</x:v>
      </x:c>
      <x:c r="E5" s="185" t="str">
        <x:v>建物構造・防火・既設サッシ材質</x:v>
      </x:c>
      <x:c r="F5" s="185" t="str">
        <x:v>居室仕様共通ルール参照</x:v>
      </x:c>
      <x:c r="G5" s="185" t="str">
        <x:v>COMPLETE</x:v>
      </x:c>
      <x:c r="H5" s="186" t="str">
        <x:v>TW-EV-001,009</x:v>
      </x:c>
    </x:row>
    <x:row r="6">
      <x:c r="A6" s="184" t="str">
        <x:v>TW-AP-MATERIAL-RESIN</x:v>
      </x:c>
      <x:c r="B6" s="185" t="str">
        <x:v>existing_sash_material</x:v>
      </x:c>
      <x:c r="C6" s="185" t="str">
        <x:v>樹脂製</x:v>
      </x:c>
      <x:c r="D6" s="185" t="str">
        <x:v>UNAVAILABLE</x:v>
      </x:c>
      <x:c r="E6" s="185" t="str">
        <x:v>取付不可</x:v>
      </x:c>
      <x:c r="F6" s="185" t="str">
        <x:v>TW固有Webでも明示</x:v>
      </x:c>
      <x:c r="G6" s="185" t="str">
        <x:v>COMPLETE</x:v>
      </x:c>
      <x:c r="H6" s="186" t="str">
        <x:v>TW-EV-004</x:v>
      </x:c>
    </x:row>
    <x:row r="7">
      <x:c r="A7" s="184" t="str">
        <x:v>TW-AP-MATERIAL-WOOD</x:v>
      </x:c>
      <x:c r="B7" s="185" t="str">
        <x:v>existing_sash_material</x:v>
      </x:c>
      <x:c r="C7" s="185" t="str">
        <x:v>木製</x:v>
      </x:c>
      <x:c r="D7" s="185" t="str">
        <x:v>UNAVAILABLE</x:v>
      </x:c>
      <x:c r="E7" s="185" t="str">
        <x:v>取付不可</x:v>
      </x:c>
      <x:c r="F7" s="185" t="str">
        <x:v>TW固有Webでも明示</x:v>
      </x:c>
      <x:c r="G7" s="185" t="str">
        <x:v>COMPLETE</x:v>
      </x:c>
      <x:c r="H7" s="186" t="str">
        <x:v>TW-EV-004</x:v>
      </x:c>
    </x:row>
    <x:row r="8">
      <x:c r="A8" s="184" t="str">
        <x:v>TW-AP-DEPTH</x:v>
      </x:c>
      <x:c r="B8" s="185" t="str">
        <x:v>existing_frame_depth</x:v>
      </x:c>
      <x:c r="C8" s="185" t="str">
        <x:v>～119mm</x:v>
      </x:c>
      <x:c r="D8" s="185" t="str">
        <x:v>AVAILABLE</x:v>
      </x:c>
      <x:c r="E8" s="185" t="str">
        <x:v>既設枠見込み</x:v>
      </x:c>
      <x:c r="F8" s="185" t="str">
        <x:v>TW現調シート</x:v>
      </x:c>
      <x:c r="G8" s="185" t="str">
        <x:v>COMPLETE</x:v>
      </x:c>
      <x:c r="H8" s="186" t="str">
        <x:v>TW-EV-011</x:v>
      </x:c>
    </x:row>
    <x:row r="9">
      <x:c r="A9" s="184" t="str">
        <x:v>TW-AP-DEPTH-OVER</x:v>
      </x:c>
      <x:c r="B9" s="185" t="str">
        <x:v>existing_frame_depth</x:v>
      </x:c>
      <x:c r="C9" s="185" t="str">
        <x:v>&gt;119mm</x:v>
      </x:c>
      <x:c r="D9" s="185" t="str">
        <x:v>EXTERNAL_CHECK/UNAVAILABLE</x:v>
      </x:c>
      <x:c r="E9" s="185" t="str">
        <x:v>標準の対応範囲外</x:v>
      </x:c>
      <x:c r="F9" s="185" t="str">
        <x:v>現調で確認</x:v>
      </x:c>
      <x:c r="G9" s="185" t="str">
        <x:v>COMPLETE_WITH_EXTERNAL_CHECK</x:v>
      </x:c>
      <x:c r="H9" s="186" t="str">
        <x:v>TW-EV-011</x:v>
      </x:c>
    </x:row>
    <x:row r="10">
      <x:c r="A10" s="184" t="str">
        <x:v>TW-AP-SILL-RISE</x:v>
      </x:c>
      <x:c r="B10" s="185" t="str">
        <x:v>lower_frame_rise</x:v>
      </x:c>
      <x:c r="C10" s="185" t="str">
        <x:v>37～53mm</x:v>
      </x:c>
      <x:c r="D10" s="185" t="str">
        <x:v>AVAILABLE</x:v>
      </x:c>
      <x:c r="E10" s="185" t="str">
        <x:v>下枠補強金具対応範囲</x:v>
      </x:c>
      <x:c r="F10" s="185" t="str">
        <x:v>TW現調シート</x:v>
      </x:c>
      <x:c r="G10" s="185" t="str">
        <x:v>COMPLETE</x:v>
      </x:c>
      <x:c r="H10" s="186" t="str">
        <x:v>TW-EV-011</x:v>
      </x:c>
    </x:row>
    <x:row r="11">
      <x:c r="A11" s="187" t="str">
        <x:v>TW-AP-INNERFIT</x:v>
      </x:c>
      <x:c r="B11" s="188" t="str">
        <x:v>installation_method</x:v>
      </x:c>
      <x:c r="C11" s="188" t="str">
        <x:v>内嵌め用</x:v>
      </x:c>
      <x:c r="D11" s="188" t="str">
        <x:v>CONDITIONAL</x:v>
      </x:c>
      <x:c r="E11" s="188" t="str">
        <x:v>標準施工できない既設条件で選択</x:v>
      </x:c>
      <x:c r="F11" s="188" t="str">
        <x:v>既設上枠ベース材必須</x:v>
      </x:c>
      <x:c r="G11" s="188" t="str">
        <x:v>COMPLETE</x:v>
      </x:c>
      <x:c r="H11" s="189" t="str">
        <x:v>TW-EV-005,011</x:v>
      </x:c>
    </x:row>
    <x:row r="12">
      <x:c r="A12" s="35"/>
      <x:c r="B12" s="36"/>
      <x:c r="C12" s="36"/>
      <x:c r="D12" s="36"/>
      <x:c r="E12" s="36"/>
      <x:c r="F12" s="36"/>
      <x:c r="G12" s="37"/>
    </x:row>
    <x:row r="13">
      <x:c r="A13" s="35"/>
      <x:c r="B13" s="36"/>
      <x:c r="C13" s="36"/>
      <x:c r="D13" s="36"/>
      <x:c r="E13" s="36"/>
      <x:c r="F13" s="36"/>
      <x:c r="G13" s="37"/>
    </x:row>
    <x:row r="14">
      <x:c r="A14" s="38"/>
      <x:c r="B14" s="39"/>
      <x:c r="C14" s="39"/>
      <x:c r="D14" s="39"/>
      <x:c r="E14" s="39"/>
      <x:c r="F14" s="39"/>
      <x:c r="G14" s="40"/>
    </x:row>
  </x:sheetData>
  <x:mergeCells>
    <x:mergeCell ref="A1:G1"/>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0" hidden="0" customWidth="1"/>
    <x:col min="2" max="2" width="18" hidden="0" customWidth="1"/>
    <x:col min="3" max="3" width="38" hidden="0" customWidth="1"/>
    <x:col min="4" max="4" width="60" hidden="0" customWidth="1"/>
    <x:col min="5" max="5" width="78" hidden="0" customWidth="1"/>
    <x:col min="6" max="6" width="18" hidden="0" customWidth="1"/>
    <x:col min="7" max="7" width="20" hidden="0" customWidth="1"/>
    <x:col min="8" max="8" width="16" hidden="0" customWidth="1"/>
  </x:cols>
  <x:sheetData>
    <x:row r="1" ht="28" customHeight="1">
      <x:c r="A1" s="178" t="str">
        <x:v>10A_既設窓互換｜共通ルール参照</x:v>
      </x:c>
      <x:c r="B1" s="178"/>
      <x:c r="C1" s="178"/>
      <x:c r="D1" s="178"/>
      <x:c r="E1" s="178"/>
      <x:c r="F1" s="178"/>
      <x:c r="G1" s="178"/>
      <x:c r="H1" s="4"/>
    </x:row>
    <x:row r="2" ht="34" customHeight="1">
      <x:c r="A2" s="11"/>
      <x:c r="B2" s="11"/>
      <x:c r="C2" s="11"/>
      <x:c r="D2" s="11"/>
      <x:c r="E2" s="11"/>
      <x:c r="F2" s="11"/>
      <x:c r="G2" s="11"/>
      <x:c r="H2" s="11"/>
    </x:row>
    <x:row r="3">
      <x:c r="A3" s="181" t="str">
        <x:v>rule_id</x:v>
      </x:c>
      <x:c r="B3" s="182" t="str">
        <x:v>variation_id</x:v>
      </x:c>
      <x:c r="C3" s="182" t="str">
        <x:v>shared_rule_id</x:v>
      </x:c>
      <x:c r="D3" s="182" t="str">
        <x:v>reference_master</x:v>
      </x:c>
      <x:c r="E3" s="182" t="str">
        <x:v>参照内容</x:v>
      </x:c>
      <x:c r="F3" s="182" t="str">
        <x:v>status</x:v>
      </x:c>
      <x:c r="G3" s="183" t="str">
        <x:v>evidence</x:v>
      </x:c>
    </x:row>
    <x:row r="4" ht="30" customHeight="1">
      <x:c r="A4" s="205" t="str">
        <x:v>TW-EX-REF</x:v>
      </x:c>
      <x:c r="B4" s="206" t="str">
        <x:v>RPL_TW</x:v>
      </x:c>
      <x:c r="C4" s="206" t="str">
        <x:v>SHARED-RPL-EXISTING-COMPAT-P124</x:v>
      </x:c>
      <x:c r="D4" s="206" t="str">
        <x:v>https://drive.google.com/file/d/1uTlmHsO_czluTsfdpGMarw_q8qe43cp9/view</x:v>
      </x:c>
      <x:c r="E4" s="206" t="str">
        <x:v>既設引違い/装飾窓の対応可否表を共通参照。TWタイプ固有差分がない範囲はコピーしない。</x:v>
      </x:c>
      <x:c r="F4" s="206" t="str">
        <x:v>COMPLETE</x:v>
      </x:c>
      <x:c r="G4" s="226" t="str">
        <x:v>TW-EV-009</x:v>
      </x:c>
      <x:c r="H4" s="34"/>
    </x:row>
    <x:row r="5">
      <x:c r="A5" s="35"/>
      <x:c r="B5" s="36"/>
      <x:c r="C5" s="36"/>
      <x:c r="D5" s="36"/>
      <x:c r="E5" s="36"/>
      <x:c r="F5" s="36"/>
      <x:c r="G5" s="36"/>
      <x:c r="H5" s="37"/>
    </x:row>
    <x:row r="6">
      <x:c r="A6" s="35"/>
      <x:c r="B6" s="36"/>
      <x:c r="C6" s="36"/>
      <x:c r="D6" s="36"/>
      <x:c r="E6" s="36"/>
      <x:c r="F6" s="36"/>
      <x:c r="G6" s="36"/>
      <x:c r="H6" s="37"/>
    </x:row>
    <x:row r="7">
      <x:c r="A7" s="35"/>
      <x:c r="B7" s="36"/>
      <x:c r="C7" s="36"/>
      <x:c r="D7" s="36"/>
      <x:c r="E7" s="36"/>
      <x:c r="F7" s="36"/>
      <x:c r="G7" s="36"/>
      <x:c r="H7" s="37"/>
    </x:row>
    <x:row r="8">
      <x:c r="A8" s="35"/>
      <x:c r="B8" s="36"/>
      <x:c r="C8" s="36"/>
      <x:c r="D8" s="36"/>
      <x:c r="E8" s="36"/>
      <x:c r="F8" s="36"/>
      <x:c r="G8" s="36"/>
      <x:c r="H8" s="37"/>
    </x:row>
    <x:row r="9">
      <x:c r="A9" s="35"/>
      <x:c r="B9" s="36"/>
      <x:c r="C9" s="36"/>
      <x:c r="D9" s="36"/>
      <x:c r="E9" s="36"/>
      <x:c r="F9" s="36"/>
      <x:c r="G9" s="36"/>
      <x:c r="H9" s="37"/>
    </x:row>
    <x:row r="10">
      <x:c r="A10" s="35"/>
      <x:c r="B10" s="36"/>
      <x:c r="C10" s="36"/>
      <x:c r="D10" s="36"/>
      <x:c r="E10" s="36"/>
      <x:c r="F10" s="36"/>
      <x:c r="G10" s="36"/>
      <x:c r="H10" s="37"/>
    </x:row>
    <x:row r="11">
      <x:c r="A11" s="35"/>
      <x:c r="B11" s="36"/>
      <x:c r="C11" s="36"/>
      <x:c r="D11" s="36"/>
      <x:c r="E11" s="36"/>
      <x:c r="F11" s="36"/>
      <x:c r="G11" s="36"/>
      <x:c r="H11" s="37"/>
    </x:row>
    <x:row r="12">
      <x:c r="A12" s="35"/>
      <x:c r="B12" s="36"/>
      <x:c r="C12" s="36"/>
      <x:c r="D12" s="36"/>
      <x:c r="E12" s="36"/>
      <x:c r="F12" s="36"/>
      <x:c r="G12" s="36"/>
      <x:c r="H12" s="37"/>
    </x:row>
    <x:row r="13">
      <x:c r="A13" s="35"/>
      <x:c r="B13" s="36"/>
      <x:c r="C13" s="36"/>
      <x:c r="D13" s="36"/>
      <x:c r="E13" s="36"/>
      <x:c r="F13" s="36"/>
      <x:c r="G13" s="36"/>
      <x:c r="H13" s="37"/>
    </x:row>
    <x:row r="14">
      <x:c r="A14" s="35"/>
      <x:c r="B14" s="36"/>
      <x:c r="C14" s="36"/>
      <x:c r="D14" s="36"/>
      <x:c r="E14" s="36"/>
      <x:c r="F14" s="36"/>
      <x:c r="G14" s="36"/>
      <x:c r="H14" s="37"/>
    </x:row>
    <x:row r="15">
      <x:c r="A15" s="38"/>
      <x:c r="B15" s="39"/>
      <x:c r="C15" s="39"/>
      <x:c r="D15" s="39"/>
      <x:c r="E15" s="39"/>
      <x:c r="F15" s="39"/>
      <x:c r="G15" s="39"/>
      <x:c r="H15" s="40"/>
    </x:row>
  </x:sheetData>
  <x:mergeCells>
    <x:mergeCell ref="A1:H1"/>
    <x:mergeCell ref="A2:H2"/>
    <x:mergeCell ref="A1:G1"/>
  </x:mergeCells>
  <x:pageMargins left="0.7" right="0.7" top="0.75" bottom="0.75" header="0.3" footer="0.3"/>
</x:worksheet>
</file>

<file path=xl/worksheets/sheet24.xml><?xml version="1.0" encoding="utf-8"?>
<x:worksheet xmlns:x="http://schemas.openxmlformats.org/spreadsheetml/2006/main">
  <x:sheetFormatPr defaultRowHeight="15"/>
  <x:cols>
    <x:col min="1" max="1" width="20" hidden="0" customWidth="1"/>
    <x:col min="2" max="2" width="30" hidden="0" customWidth="1"/>
    <x:col min="3" max="3" width="12" hidden="0" customWidth="1"/>
    <x:col min="4" max="4" width="10" hidden="0" customWidth="1"/>
    <x:col min="5" max="5" width="84" hidden="0" customWidth="1"/>
    <x:col min="6" max="6" width="20" hidden="0" customWidth="1"/>
    <x:col min="7" max="7" width="18" hidden="0" customWidth="1"/>
    <x:col min="8" max="8" width="18" hidden="0" customWidth="1"/>
    <x:col min="9" max="9" width="20" hidden="0" customWidth="1"/>
  </x:cols>
  <x:sheetData>
    <x:row r="1" ht="28" customHeight="1">
      <x:c r="A1" s="178" t="str">
        <x:v>10B_現調項目｜TWタイプ</x:v>
      </x:c>
      <x:c r="B1" s="178"/>
      <x:c r="C1" s="178"/>
      <x:c r="D1" s="178"/>
      <x:c r="E1" s="178"/>
      <x:c r="F1" s="178"/>
      <x:c r="G1" s="178"/>
      <x:c r="H1" s="178"/>
      <x:c r="I1" s="178"/>
    </x:row>
    <x:row r="3" ht="30" customHeight="1">
      <x:c r="A3" s="181" t="str">
        <x:v>survey_id</x:v>
      </x:c>
      <x:c r="B3" s="182" t="str">
        <x:v>項目名</x:v>
      </x:c>
      <x:c r="C3" s="182" t="str">
        <x:v>symbol</x:v>
      </x:c>
      <x:c r="D3" s="182" t="str">
        <x:v>unit</x:v>
      </x:c>
      <x:c r="E3" s="182" t="str">
        <x:v>判定/採寸ルール</x:v>
      </x:c>
      <x:c r="F3" s="182" t="str">
        <x:v>requirement</x:v>
      </x:c>
      <x:c r="G3" s="182" t="str">
        <x:v>ui_layer</x:v>
      </x:c>
      <x:c r="H3" s="182" t="str">
        <x:v>status</x:v>
      </x:c>
      <x:c r="I3" s="183" t="str">
        <x:v>evidence</x:v>
      </x:c>
    </x:row>
    <x:row r="4">
      <x:c r="A4" s="184" t="str">
        <x:v>TW-SV-W3</x:v>
      </x:c>
      <x:c r="B4" s="185" t="str">
        <x:v>採寸W 3点</x:v>
      </x:c>
      <x:c r="C4" s="185" t="str">
        <x:v>WS</x:v>
      </x:c>
      <x:c r="D4" s="185" t="str">
        <x:v>mm</x:v>
      </x:c>
      <x:c r="E4" s="185" t="str">
        <x:v>上・中・下3点を採寸</x:v>
      </x:c>
      <x:c r="F4" s="185" t="str">
        <x:v>REQUIRED</x:v>
      </x:c>
      <x:c r="G4" s="185" t="str">
        <x:v>現調UI</x:v>
      </x:c>
      <x:c r="H4" s="185" t="str">
        <x:v>COMPLETE</x:v>
      </x:c>
      <x:c r="I4" s="186" t="str">
        <x:v>TW-EV-011</x:v>
      </x:c>
    </x:row>
    <x:row r="5">
      <x:c r="A5" s="184" t="str">
        <x:v>TW-SV-H3</x:v>
      </x:c>
      <x:c r="B5" s="185" t="str">
        <x:v>採寸H 3点</x:v>
      </x:c>
      <x:c r="C5" s="185" t="str">
        <x:v>HS</x:v>
      </x:c>
      <x:c r="D5" s="185" t="str">
        <x:v>mm</x:v>
      </x:c>
      <x:c r="E5" s="185" t="str">
        <x:v>左・中・右3点を採寸</x:v>
      </x:c>
      <x:c r="F5" s="185" t="str">
        <x:v>REQUIRED</x:v>
      </x:c>
      <x:c r="G5" s="185" t="str">
        <x:v>現調UI</x:v>
      </x:c>
      <x:c r="H5" s="185" t="str">
        <x:v>COMPLETE</x:v>
      </x:c>
      <x:c r="I5" s="186" t="str">
        <x:v>TW-EV-011</x:v>
      </x:c>
    </x:row>
    <x:row r="6">
      <x:c r="A6" s="184" t="str">
        <x:v>TW-SV-TWIST</x:v>
      </x:c>
      <x:c r="B6" s="185" t="str">
        <x:v>ねじれ/ゆがみ/たおれ</x:v>
      </x:c>
      <x:c r="C6" s="185" t="str">
        <x:v>—</x:v>
      </x:c>
      <x:c r="D6" s="185" t="str">
        <x:v>—</x:v>
      </x:c>
      <x:c r="E6" s="185" t="str">
        <x:v>問題がないことを確認</x:v>
      </x:c>
      <x:c r="F6" s="185" t="str">
        <x:v>REQUIRED</x:v>
      </x:c>
      <x:c r="G6" s="185" t="str">
        <x:v>現調UI</x:v>
      </x:c>
      <x:c r="H6" s="185" t="str">
        <x:v>COMPLETE</x:v>
      </x:c>
      <x:c r="I6" s="186" t="str">
        <x:v>TW-EV-011</x:v>
      </x:c>
    </x:row>
    <x:row r="7">
      <x:c r="A7" s="184" t="str">
        <x:v>TW-SV-HEAD-FACE</x:v>
      </x:c>
      <x:c r="B7" s="185" t="str">
        <x:v>既設上枠見付</x:v>
      </x:c>
      <x:c r="C7" s="185" t="str">
        <x:v>—</x:v>
      </x:c>
      <x:c r="D7" s="185" t="str">
        <x:v>mm</x:v>
      </x:c>
      <x:c r="E7" s="185" t="str">
        <x:v>10C化粧カバー見付ルールへ</x:v>
      </x:c>
      <x:c r="F7" s="185" t="str">
        <x:v>REQUIRED</x:v>
      </x:c>
      <x:c r="G7" s="185" t="str">
        <x:v>現調UI</x:v>
      </x:c>
      <x:c r="H7" s="185" t="str">
        <x:v>COMPLETE</x:v>
      </x:c>
      <x:c r="I7" s="186" t="str">
        <x:v>TW-EV-011</x:v>
      </x:c>
    </x:row>
    <x:row r="8">
      <x:c r="A8" s="184" t="str">
        <x:v>TW-SV-SILL-FACE</x:v>
      </x:c>
      <x:c r="B8" s="185" t="str">
        <x:v>既設下枠見付</x:v>
      </x:c>
      <x:c r="C8" s="185" t="str">
        <x:v>—</x:v>
      </x:c>
      <x:c r="D8" s="185" t="str">
        <x:v>mm</x:v>
      </x:c>
      <x:c r="E8" s="185" t="str">
        <x:v>10C化粧カバー見付ルールへ</x:v>
      </x:c>
      <x:c r="F8" s="185" t="str">
        <x:v>REQUIRED</x:v>
      </x:c>
      <x:c r="G8" s="185" t="str">
        <x:v>現調UI</x:v>
      </x:c>
      <x:c r="H8" s="185" t="str">
        <x:v>COMPLETE</x:v>
      </x:c>
      <x:c r="I8" s="186" t="str">
        <x:v>TW-EV-011</x:v>
      </x:c>
    </x:row>
    <x:row r="9">
      <x:c r="A9" s="184" t="str">
        <x:v>TW-SV-JAMB-FACE</x:v>
      </x:c>
      <x:c r="B9" s="185" t="str">
        <x:v>既設縦枠見付</x:v>
      </x:c>
      <x:c r="C9" s="185" t="str">
        <x:v>—</x:v>
      </x:c>
      <x:c r="D9" s="185" t="str">
        <x:v>mm</x:v>
      </x:c>
      <x:c r="E9" s="185" t="str">
        <x:v>10C化粧カバー見付ルールへ</x:v>
      </x:c>
      <x:c r="F9" s="185" t="str">
        <x:v>REQUIRED</x:v>
      </x:c>
      <x:c r="G9" s="185" t="str">
        <x:v>現調UI</x:v>
      </x:c>
      <x:c r="H9" s="185" t="str">
        <x:v>COMPLETE</x:v>
      </x:c>
      <x:c r="I9" s="186" t="str">
        <x:v>TW-EV-011</x:v>
      </x:c>
    </x:row>
    <x:row r="10">
      <x:c r="A10" s="184" t="str">
        <x:v>TW-SV-SILL-RISE</x:v>
      </x:c>
      <x:c r="B10" s="185" t="str">
        <x:v>下枠立ち上がり</x:v>
      </x:c>
      <x:c r="C10" s="185" t="str">
        <x:v>—</x:v>
      </x:c>
      <x:c r="D10" s="185" t="str">
        <x:v>mm</x:v>
      </x:c>
      <x:c r="E10" s="185" t="str">
        <x:v>37～53mm</x:v>
      </x:c>
      <x:c r="F10" s="185" t="str">
        <x:v>REQUIRED</x:v>
      </x:c>
      <x:c r="G10" s="185" t="str">
        <x:v>現調UI</x:v>
      </x:c>
      <x:c r="H10" s="185" t="str">
        <x:v>COMPLETE</x:v>
      </x:c>
      <x:c r="I10" s="186" t="str">
        <x:v>TW-EV-011</x:v>
      </x:c>
    </x:row>
    <x:row r="11">
      <x:c r="A11" s="184" t="str">
        <x:v>TW-SV-IN-DEPTH</x:v>
      </x:c>
      <x:c r="B11" s="185" t="str">
        <x:v>室内側見込み</x:v>
      </x:c>
      <x:c r="C11" s="185" t="str">
        <x:v>—</x:v>
      </x:c>
      <x:c r="D11" s="185" t="str">
        <x:v>mm</x:v>
      </x:c>
      <x:c r="E11" s="185" t="str">
        <x:v>現調記録</x:v>
      </x:c>
      <x:c r="F11" s="185" t="str">
        <x:v>CONDITIONAL</x:v>
      </x:c>
      <x:c r="G11" s="185" t="str">
        <x:v>現調UI</x:v>
      </x:c>
      <x:c r="H11" s="185" t="str">
        <x:v>COMPLETE</x:v>
      </x:c>
      <x:c r="I11" s="186" t="str">
        <x:v>TW-EV-011</x:v>
      </x:c>
    </x:row>
    <x:row r="12">
      <x:c r="A12" s="184" t="str">
        <x:v>TW-SV-FRAME-DEPTH</x:v>
      </x:c>
      <x:c r="B12" s="185" t="str">
        <x:v>既設枠見込み</x:v>
      </x:c>
      <x:c r="C12" s="185" t="str">
        <x:v>—</x:v>
      </x:c>
      <x:c r="D12" s="185" t="str">
        <x:v>mm</x:v>
      </x:c>
      <x:c r="E12" s="185" t="str">
        <x:v>～119mm</x:v>
      </x:c>
      <x:c r="F12" s="185" t="str">
        <x:v>REQUIRED</x:v>
      </x:c>
      <x:c r="G12" s="185" t="str">
        <x:v>現調UI</x:v>
      </x:c>
      <x:c r="H12" s="185" t="str">
        <x:v>COMPLETE</x:v>
      </x:c>
      <x:c r="I12" s="186" t="str">
        <x:v>TW-EV-011</x:v>
      </x:c>
    </x:row>
    <x:row r="13">
      <x:c r="A13" s="187" t="str">
        <x:v>TW-SV-INSTALL</x:v>
      </x:c>
      <x:c r="B13" s="188" t="str">
        <x:v>施工区分</x:v>
      </x:c>
      <x:c r="C13" s="188" t="str">
        <x:v>—</x:v>
      </x:c>
      <x:c r="D13" s="188" t="str">
        <x:v>—</x:v>
      </x:c>
      <x:c r="E13" s="188" t="str">
        <x:v>標準用 / 内嵌め用（既設内付・半外付） / 内嵌め用（既設外付）</x:v>
      </x:c>
      <x:c r="F13" s="188" t="str">
        <x:v>REQUIRED</x:v>
      </x:c>
      <x:c r="G13" s="188" t="str">
        <x:v>現調UI</x:v>
      </x:c>
      <x:c r="H13" s="188" t="str">
        <x:v>COMPLETE</x:v>
      </x:c>
      <x:c r="I13" s="189" t="str">
        <x:v>TW-EV-011</x:v>
      </x:c>
    </x:row>
    <x:row r="14">
      <x:c r="A14" s="147"/>
      <x:c r="B14" s="148"/>
      <x:c r="C14" s="148"/>
      <x:c r="D14" s="148"/>
      <x:c r="E14" s="148"/>
      <x:c r="F14" s="148"/>
      <x:c r="G14" s="148"/>
      <x:c r="H14" s="148"/>
      <x:c r="I14" s="149"/>
    </x:row>
  </x:sheetData>
  <x:mergeCells>
    <x:mergeCell ref="A1:I1"/>
  </x:mergeCells>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14" hidden="0" customWidth="1"/>
    <x:col min="3" max="3" width="42" hidden="0" customWidth="1"/>
    <x:col min="4" max="4" width="30" hidden="0" customWidth="1"/>
    <x:col min="5" max="5" width="88" hidden="0" customWidth="1"/>
    <x:col min="6" max="6" width="24" hidden="0" customWidth="1"/>
  </x:cols>
  <x:sheetData>
    <x:row r="1" ht="28" customHeight="1">
      <x:c r="A1" s="178" t="str">
        <x:v>99_QA｜TWタイプ 完成判定</x:v>
      </x:c>
      <x:c r="B1" s="178"/>
      <x:c r="C1" s="178"/>
      <x:c r="D1" s="178"/>
      <x:c r="E1" s="178"/>
      <x:c r="F1" s="178"/>
    </x:row>
    <x:row r="2" ht="36" customHeight="1">
      <x:c r="A2" s="179" t="str">
        <x:v>REVIEW_REQUIREDは資料差異を安全側で非表示にした項目。通常見積の完成を妨げない。</x:v>
      </x:c>
      <x:c r="B2" s="179"/>
      <x:c r="C2" s="179"/>
      <x:c r="D2" s="179"/>
      <x:c r="E2" s="179"/>
      <x:c r="F2" s="179"/>
    </x:row>
    <x:row r="3" ht="30" customHeight="1">
      <x:c r="A3" s="32"/>
      <x:c r="B3" s="33"/>
      <x:c r="C3" s="33"/>
      <x:c r="D3" s="33"/>
      <x:c r="E3" s="33"/>
      <x:c r="F3" s="34"/>
    </x:row>
    <x:row r="4">
      <x:c r="A4" s="224" t="str">
        <x:v>qa_id</x:v>
      </x:c>
      <x:c r="B4" s="225" t="str">
        <x:v>phase</x:v>
      </x:c>
      <x:c r="C4" s="225" t="str">
        <x:v>項目</x:v>
      </x:c>
      <x:c r="D4" s="225" t="str">
        <x:v>status</x:v>
      </x:c>
      <x:c r="E4" s="225" t="str">
        <x:v>判定/残課題</x:v>
      </x:c>
      <x:c r="F4" s="231" t="str">
        <x:v>evidence</x:v>
      </x:c>
    </x:row>
    <x:row r="5">
      <x:c r="A5" s="184" t="str">
        <x:v>TW-QA-01</x:v>
      </x:c>
      <x:c r="B5" s="185" t="str">
        <x:v>TW-1</x:v>
      </x:c>
      <x:c r="C5" s="185" t="str">
        <x:v>窓種</x:v>
      </x:c>
      <x:c r="D5" s="235" t="str">
        <x:v>COMPLETE</x:v>
      </x:c>
      <x:c r="E5" s="185" t="str">
        <x:v>引違い窓のみ</x:v>
      </x:c>
      <x:c r="F5" s="186" t="str">
        <x:v>TW-EV-002,003,004</x:v>
      </x:c>
    </x:row>
    <x:row r="6">
      <x:c r="A6" s="184" t="str">
        <x:v>TW-QA-02</x:v>
      </x:c>
      <x:c r="B6" s="185" t="str">
        <x:v>TW-1</x:v>
      </x:c>
      <x:c r="C6" s="185" t="str">
        <x:v>枠体系</x:v>
      </x:c>
      <x:c r="D6" s="235" t="str">
        <x:v>COMPLETE</x:v>
      </x:c>
      <x:c r="E6" s="185" t="str">
        <x:v>frame_type固定。標準枠/ブリッジ枠の選択UIなし</x:v>
      </x:c>
      <x:c r="F6" s="186" t="str">
        <x:v>TW-EV-002,005</x:v>
      </x:c>
    </x:row>
    <x:row r="7">
      <x:c r="A7" s="184" t="str">
        <x:v>TW-QA-03</x:v>
      </x:c>
      <x:c r="B7" s="185" t="str">
        <x:v>TW-1</x:v>
      </x:c>
      <x:c r="C7" s="185" t="str">
        <x:v>建数/高さ/障子</x:v>
      </x:c>
      <x:c r="D7" s="235" t="str">
        <x:v>COMPLETE</x:v>
      </x:c>
      <x:c r="E7" s="185" t="str">
        <x:v>2/4枚建、マド/テラス、TG/把手/大壁和室用</x:v>
      </x:c>
      <x:c r="F7" s="186" t="str">
        <x:v>TW-EV-005,007</x:v>
      </x:c>
    </x:row>
    <x:row r="8">
      <x:c r="A8" s="184" t="str">
        <x:v>TW-QA-04</x:v>
      </x:c>
      <x:c r="B8" s="185" t="str">
        <x:v>TW-2</x:v>
      </x:c>
      <x:c r="C8" s="185" t="str">
        <x:v>採寸→出来寸</x:v>
      </x:c>
      <x:c r="D8" s="235" t="str">
        <x:v>COMPLETE</x:v>
      </x:c>
      <x:c r="E8" s="185" t="str">
        <x:v>WD=WS-10 / HD=HS-10</x:v>
      </x:c>
      <x:c r="F8" s="186" t="str">
        <x:v>TW-EV-005</x:v>
      </x:c>
    </x:row>
    <x:row r="9">
      <x:c r="A9" s="184" t="str">
        <x:v>TW-QA-05</x:v>
      </x:c>
      <x:c r="B9" s="185" t="str">
        <x:v>TW-2</x:v>
      </x:c>
      <x:c r="C9" s="185" t="str">
        <x:v>基本製作範囲・公開境界式</x:v>
      </x:c>
      <x:c r="D9" s="235" t="str">
        <x:v>COMPLETE</x:v>
      </x:c>
      <x:c r="E9" s="185" t="str">
        <x:v>p.96を機械判定化</x:v>
      </x:c>
      <x:c r="F9" s="186" t="str">
        <x:v>TW-EV-007</x:v>
      </x:c>
    </x:row>
    <x:row r="10">
      <x:c r="A10" s="184" t="str">
        <x:v>TW-QA-06</x:v>
      </x:c>
      <x:c r="B10" s="185" t="str">
        <x:v>TW-2</x:v>
      </x:c>
      <x:c r="C10" s="185" t="str">
        <x:v>右上曲線/内嵌め網掛け/耐風圧</x:v>
      </x:c>
      <x:c r="D10" s="236" t="str">
        <x:v>COMPLETE_WITH_EXTERNAL_CHECK</x:v>
      </x:c>
      <x:c r="E10" s="185" t="str">
        <x:v>式のない境界は公式確認へ</x:v>
      </x:c>
      <x:c r="F10" s="186" t="str">
        <x:v>TW-EV-001,007</x:v>
      </x:c>
    </x:row>
    <x:row r="11">
      <x:c r="A11" s="184" t="str">
        <x:v>TW-QA-07</x:v>
      </x:c>
      <x:c r="B11" s="185" t="str">
        <x:v>TW-3</x:v>
      </x:c>
      <x:c r="C11" s="185" t="str">
        <x:v>色</x:v>
      </x:c>
      <x:c r="D11" s="235" t="str">
        <x:v>COMPLETE</x:v>
      </x:c>
      <x:c r="E11" s="185" t="str">
        <x:v>外観/内観/化粧カバー/樹脂アングルカバー分離</x:v>
      </x:c>
      <x:c r="F11" s="186" t="str">
        <x:v>TW-EV-003,004</x:v>
      </x:c>
    </x:row>
    <x:row r="12">
      <x:c r="A12" s="184" t="str">
        <x:v>TW-QA-08</x:v>
      </x:c>
      <x:c r="B12" s="185" t="str">
        <x:v>TW-3</x:v>
      </x:c>
      <x:c r="C12" s="185" t="str">
        <x:v>網戸</x:v>
      </x:c>
      <x:c r="D12" s="235" t="str">
        <x:v>COMPLETE</x:v>
      </x:c>
      <x:c r="E12" s="185" t="str">
        <x:v>中桟付HD条件と4ネットを機械判定</x:v>
      </x:c>
      <x:c r="F12" s="186" t="str">
        <x:v>TW-EV-005,006</x:v>
      </x:c>
    </x:row>
    <x:row r="13">
      <x:c r="A13" s="184" t="str">
        <x:v>TW-QA-09</x:v>
      </x:c>
      <x:c r="B13" s="185" t="str">
        <x:v>TW-3</x:v>
      </x:c>
      <x:c r="C13" s="185" t="str">
        <x:v>専用トリプル/ガス/スペーサー</x:v>
      </x:c>
      <x:c r="D13" s="235" t="str">
        <x:v>COMPLETE</x:v>
      </x:c>
      <x:c r="E13" s="185" t="str">
        <x:v>アルゴン/クリプトン・樹脂スペーサー</x:v>
      </x:c>
      <x:c r="F13" s="186" t="str">
        <x:v>TW-EV-005,008</x:v>
      </x:c>
    </x:row>
    <x:row r="14">
      <x:c r="A14" s="184" t="str">
        <x:v>TW-QA-10</x:v>
      </x:c>
      <x:c r="B14" s="185" t="str">
        <x:v>TW-3</x:v>
      </x:c>
      <x:c r="C14" s="185" t="str">
        <x:v>ガラス面積/戸車耐荷重</x:v>
      </x:c>
      <x:c r="D14" s="236" t="str">
        <x:v>COMPLETE_WITH_EXTERNAL_CHECK</x:v>
      </x:c>
      <x:c r="E14" s="185" t="str">
        <x:v>特殊案件のみ公式表/見積システムへ</x:v>
      </x:c>
      <x:c r="F14" s="186" t="str">
        <x:v>TW-EV-001,012</x:v>
      </x:c>
    </x:row>
    <x:row r="15">
      <x:c r="A15" s="184" t="str">
        <x:v>TW-QA-11</x:v>
      </x:c>
      <x:c r="B15" s="185" t="str">
        <x:v>TW-3</x:v>
      </x:c>
      <x:c r="C15" s="185" t="str">
        <x:v>グリーン×クリア</x:v>
      </x:c>
      <x:c r="D15" s="237" t="str">
        <x:v>REVIEW_REQUIRED</x:v>
      </x:c>
      <x:c r="E15" s="185" t="str">
        <x:v>資料間差異のため通常UI非表示。勝手に追加しない</x:v>
      </x:c>
      <x:c r="F15" s="186" t="str">
        <x:v>TW-EV-013</x:v>
      </x:c>
    </x:row>
    <x:row r="16">
      <x:c r="A16" s="184" t="str">
        <x:v>TW-QA-12</x:v>
      </x:c>
      <x:c r="B16" s="185" t="str">
        <x:v>TW-4</x:v>
      </x:c>
      <x:c r="C16" s="185" t="str">
        <x:v>主要有償品/OP依存</x:v>
      </x:c>
      <x:c r="D16" s="235" t="str">
        <x:v>COMPLETE</x:v>
      </x:c>
      <x:c r="E16" s="185" t="str">
        <x:v>大型把手、小開口、専用クレセント、非適用OP等</x:v>
      </x:c>
      <x:c r="F16" s="186" t="str">
        <x:v>TW-EV-009,010</x:v>
      </x:c>
    </x:row>
    <x:row r="17">
      <x:c r="A17" s="184" t="str">
        <x:v>TW-QA-13</x:v>
      </x:c>
      <x:c r="B17" s="185" t="str">
        <x:v>TW-5</x:v>
      </x:c>
      <x:c r="C17" s="185" t="str">
        <x:v>標準/内嵌め施工・現調</x:v>
      </x:c>
      <x:c r="D17" s="235" t="str">
        <x:v>COMPLETE</x:v>
      </x:c>
      <x:c r="E17" s="185" t="str">
        <x:v>3施工区分・3点採寸・見込み/見付</x:v>
      </x:c>
      <x:c r="F17" s="186" t="str">
        <x:v>TW-EV-011</x:v>
      </x:c>
    </x:row>
    <x:row r="18">
      <x:c r="A18" s="184" t="str">
        <x:v>TW-QA-14</x:v>
      </x:c>
      <x:c r="B18" s="185" t="str">
        <x:v>TW-5</x:v>
      </x:c>
      <x:c r="C18" s="185" t="str">
        <x:v>既設窓互換</x:v>
      </x:c>
      <x:c r="D18" s="235" t="str">
        <x:v>COMPLETE</x:v>
      </x:c>
      <x:c r="E18" s="185" t="str">
        <x:v>共通ルール参照で重複回避</x:v>
      </x:c>
      <x:c r="F18" s="186" t="str">
        <x:v>TW-EV-009</x:v>
      </x:c>
    </x:row>
    <x:row r="19">
      <x:c r="A19" s="184" t="str">
        <x:v>TW-QA-15</x:v>
      </x:c>
      <x:c r="B19" s="185" t="str">
        <x:v>TW-6</x:v>
      </x:c>
      <x:c r="C19" s="185" t="str">
        <x:v>Evidence</x:v>
      </x:c>
      <x:c r="D19" s="235" t="str">
        <x:v>COMPLETE</x:v>
      </x:c>
      <x:c r="E19" s="185" t="str">
        <x:v>TW-EV-001～013</x:v>
      </x:c>
      <x:c r="F19" s="186" t="str">
        <x:v>—</x:v>
      </x:c>
    </x:row>
    <x:row r="20">
      <x:c r="A20" s="187" t="str">
        <x:v>TW-QA-16</x:v>
      </x:c>
      <x:c r="B20" s="188" t="str">
        <x:v>Scope</x:v>
      </x:c>
      <x:c r="C20" s="188" t="str">
        <x:v>他窓種/ブリッジ/見込みふかし/上枠換気/アシスト把手</x:v>
      </x:c>
      <x:c r="D20" s="238" t="str">
        <x:v>NOT_APPLICABLE</x:v>
      </x:c>
      <x:c r="E20" s="188" t="str">
        <x:v>TWタイプでは候補非表示</x:v>
      </x:c>
      <x:c r="F20" s="189" t="str">
        <x:v>TW-EV-002,009</x:v>
      </x:c>
    </x:row>
  </x:sheetData>
  <x:mergeCells>
    <x:mergeCell ref="A1:F1"/>
    <x:mergeCell ref="A2:F2"/>
  </x:mergeCells>
  <x:conditionalFormatting sqref="D4:D20">
    <x:cfRule type="expression" dxfId="0" priority="1">
      <x:formula>D4="COMPLETE"</x:formula>
    </x:cfRule>
    <x:cfRule type="expression" dxfId="1" priority="2">
      <x:formula>D4="PARTIAL"</x:formula>
    </x:cfRule>
    <x:cfRule type="expression" dxfId="2" priority="3">
      <x:formula>D4="UNCONFIRMED"</x:formula>
    </x:cfRule>
    <x:cfRule type="expression" dxfId="3" priority="4">
      <x:formula>D4="NOT_APPLICABLE"</x:formula>
    </x:cfRule>
  </x:conditionalFormatting>
  <x:pageMargins left="0.7" right="0.7" top="0.75" bottom="0.75" header="0.3" footer="0.3"/>
</x:worksheet>
</file>

<file path=xl/worksheets/sheet26.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40" hidden="0" customWidth="1"/>
    <x:col min="5" max="5" width="20" hidden="0" customWidth="1"/>
    <x:col min="6" max="6" width="18" hidden="0" customWidth="1"/>
  </x:cols>
  <x:sheetData>
    <x:row r="1" ht="28" customHeight="1">
      <x:c r="A1" s="178" t="str">
        <x:v>04A_開口構成｜TWタイプ</x:v>
      </x:c>
      <x:c r="B1" s="178"/>
      <x:c r="C1" s="178"/>
      <x:c r="D1" s="178"/>
      <x:c r="E1" s="178"/>
      <x:c r="F1" s="178"/>
    </x:row>
    <x:row r="2" ht="34" customHeight="1">
      <x:c r="A2" s="11"/>
      <x:c r="B2" s="11"/>
      <x:c r="C2" s="11"/>
      <x:c r="D2" s="11"/>
      <x:c r="E2" s="11"/>
      <x:c r="F2" s="11"/>
    </x:row>
    <x:row r="3">
      <x:c r="A3" s="181" t="str">
        <x:v>opening_configuration_id</x:v>
      </x:c>
      <x:c r="B3" s="182" t="str">
        <x:v>名称</x:v>
      </x:c>
      <x:c r="C3" s="182" t="str">
        <x:v>variation_id</x:v>
      </x:c>
      <x:c r="D3" s="182" t="str">
        <x:v>扱い</x:v>
      </x:c>
      <x:c r="E3" s="182" t="str">
        <x:v>status</x:v>
      </x:c>
      <x:c r="F3" s="183" t="str">
        <x:v>evidence</x:v>
      </x:c>
    </x:row>
    <x:row r="4" ht="30" customHeight="1">
      <x:c r="A4" s="196" t="str">
        <x:v>SINGLE</x:v>
      </x:c>
      <x:c r="B4" s="208" t="str">
        <x:v>単窓</x:v>
      </x:c>
      <x:c r="C4" s="208" t="str">
        <x:v>RPL_TW</x:v>
      </x:c>
      <x:c r="D4" s="208" t="str">
        <x:v>今回対象</x:v>
      </x:c>
      <x:c r="E4" s="208" t="str">
        <x:v>COMPLETE</x:v>
      </x:c>
      <x:c r="F4" s="197" t="str">
        <x:v>TW-EV-002</x:v>
      </x:c>
    </x:row>
    <x:row r="5">
      <x:c r="A5" s="184" t="str">
        <x:v>COUPLED</x:v>
      </x:c>
      <x:c r="B5" s="185" t="str">
        <x:v>連窓</x:v>
      </x:c>
      <x:c r="C5" s="185" t="str">
        <x:v>RPL_TW</x:v>
      </x:c>
      <x:c r="D5" s="185" t="str">
        <x:v>商品体系として設定なし</x:v>
      </x:c>
      <x:c r="E5" s="185" t="str">
        <x:v>NOT_APPLICABLE</x:v>
      </x:c>
      <x:c r="F5" s="186" t="str">
        <x:v>TW-EV-002,003</x:v>
      </x:c>
    </x:row>
    <x:row r="6">
      <x:c r="A6" s="187" t="str">
        <x:v>STACKED</x:v>
      </x:c>
      <x:c r="B6" s="188" t="str">
        <x:v>段窓</x:v>
      </x:c>
      <x:c r="C6" s="188" t="str">
        <x:v>RPL_TW</x:v>
      </x:c>
      <x:c r="D6" s="188" t="str">
        <x:v>商品体系として設定なし</x:v>
      </x:c>
      <x:c r="E6" s="188" t="str">
        <x:v>NOT_APPLICABLE</x:v>
      </x:c>
      <x:c r="F6" s="189" t="str">
        <x:v>TW-EV-002,003</x:v>
      </x:c>
    </x:row>
    <x:row r="7">
      <x:c r="A7" s="38"/>
      <x:c r="B7" s="39"/>
      <x:c r="C7" s="39"/>
      <x:c r="D7" s="39"/>
      <x:c r="E7" s="39"/>
      <x:c r="F7" s="40"/>
    </x:row>
  </x:sheetData>
  <x:mergeCells>
    <x:mergeCell ref="A1:F1"/>
    <x:mergeCell ref="A2:F2"/>
  </x:mergeCells>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30" hidden="0" customWidth="1"/>
    <x:col min="4" max="4" width="20" hidden="0" customWidth="1"/>
    <x:col min="5" max="5" width="32" hidden="0" customWidth="1"/>
    <x:col min="6" max="6" width="22" hidden="0" customWidth="1"/>
    <x:col min="7" max="7" width="54" hidden="0" customWidth="1"/>
  </x:cols>
  <x:sheetData>
    <x:row r="1">
      <x:c r="A1" s="199" t="str">
        <x:v>11_見積入力テスト｜TWタイプ</x:v>
      </x:c>
      <x:c r="B1" s="199"/>
      <x:c r="C1" s="199"/>
      <x:c r="D1" s="199"/>
      <x:c r="E1" s="199"/>
      <x:c r="F1" s="199"/>
      <x:c r="G1" s="199"/>
    </x:row>
    <x:row r="2">
      <x:c r="A2" s="239" t="str">
        <x:v>通常案件の一次判定テスト。曲線/耐風圧/ガラス面積・戸車耐荷重はCOMPLETE_WITH_EXTERNAL_CHECKとして別判定。</x:v>
      </x:c>
      <x:c r="B2" s="239"/>
      <x:c r="C2" s="239"/>
      <x:c r="D2" s="239"/>
      <x:c r="E2" s="239"/>
      <x:c r="F2" s="239"/>
      <x:c r="G2" s="239"/>
    </x:row>
    <x:row r="3">
      <x:c r="A3" s="90"/>
      <x:c r="B3" s="91"/>
      <x:c r="C3" s="92"/>
      <x:c r="D3" s="91"/>
      <x:c r="E3" s="91"/>
      <x:c r="F3" s="93"/>
    </x:row>
    <x:row r="4">
      <x:c r="A4" s="192" t="str">
        <x:v>項目</x:v>
      </x:c>
      <x:c r="B4" s="192" t="str">
        <x:v>入力/算出</x:v>
      </x:c>
      <x:c r="C4" s="122"/>
      <x:c r="D4" s="192" t="str">
        <x:v>判定</x:v>
      </x:c>
      <x:c r="E4" s="192" t="str">
        <x:v>結果</x:v>
      </x:c>
      <x:c r="F4" s="192" t="str">
        <x:v>根拠</x:v>
      </x:c>
      <x:c r="G4" s="192" t="str">
        <x:v>備考</x:v>
      </x:c>
    </x:row>
    <x:row r="5">
      <x:c r="A5" s="122" t="str">
        <x:v>variation</x:v>
      </x:c>
      <x:c r="B5" s="122" t="str">
        <x:v>RPL_TW</x:v>
      </x:c>
      <x:c r="C5" s="122"/>
      <x:c r="D5" s="122" t="str">
        <x:v>基本包絡</x:v>
      </x:c>
      <x:c r="E5" s="122" t="str">
        <x:f>IF(AND(B12&gt;=647,B12&lt;=3017,B13&gt;=347,B13&lt;=1647),"包絡内","範囲外")</x:f>
        <x:v>包絡内</x:v>
      </x:c>
      <x:c r="F5" s="122" t="str">
        <x:v>TW-EV-007</x:v>
      </x:c>
      <x:c r="G5" s="122" t="str">
        <x:v>05_サイズルール</x:v>
      </x:c>
    </x:row>
    <x:row r="6">
      <x:c r="A6" s="122" t="str">
        <x:v>窓種</x:v>
      </x:c>
      <x:c r="B6" s="122" t="str">
        <x:v>RPL_TW_SLD</x:v>
      </x:c>
      <x:c r="C6" s="122"/>
      <x:c r="D6" s="122" t="str">
        <x:v>境界式</x:v>
      </x:c>
      <x:c r="E6" s="122" t="str">
        <x:f>IF(B12&lt;=988,IF(B13&lt;=1.7*(B12-17)-3,"境界内","境界外"),IF(B13&lt;=1647,"境界内","境界外"))</x:f>
        <x:v>境界内</x:v>
      </x:c>
      <x:c r="F6" s="122" t="str">
        <x:v>TW-EV-007</x:v>
      </x:c>
      <x:c r="G6" s="122" t="str">
        <x:v>05A_サイズ区間</x:v>
      </x:c>
    </x:row>
    <x:row r="7">
      <x:c r="A7" s="122" t="str">
        <x:v>建数</x:v>
      </x:c>
      <x:c r="B7" s="122" t="str">
        <x:v>2枚建</x:v>
      </x:c>
      <x:c r="C7" s="122"/>
      <x:c r="D7" s="122" t="str">
        <x:v>網戸中桟付</x:v>
      </x:c>
      <x:c r="E7" s="122" t="str">
        <x:f>IF(B14="TW-SCR-BAR",IF(AND(B13&gt;=1648,B13&lt;=2405),"可","不可"),"非対象")</x:f>
        <x:v>非対象</x:v>
      </x:c>
      <x:c r="F7" s="122" t="str">
        <x:v>TW-EV-006</x:v>
      </x:c>
      <x:c r="G7" s="122" t="str">
        <x:v>1648≤HD≤2405</x:v>
      </x:c>
    </x:row>
    <x:row r="8">
      <x:c r="A8" s="122" t="str">
        <x:v>高さ区分</x:v>
      </x:c>
      <x:c r="B8" s="122" t="str">
        <x:v>マド</x:v>
      </x:c>
      <x:c r="C8" s="122"/>
      <x:c r="D8" s="122" t="str">
        <x:v>ガラス</x:v>
      </x:c>
      <x:c r="E8" s="122" t="str">
        <x:v>専用トリプル</x:v>
      </x:c>
      <x:c r="F8" s="122" t="str">
        <x:v>TW-EV-008</x:v>
      </x:c>
      <x:c r="G8" s="122" t="str">
        <x:v>ガラス面積特殊境界は別確認</x:v>
      </x:c>
    </x:row>
    <x:row r="9">
      <x:c r="A9" s="122" t="str">
        <x:v>障子</x:v>
      </x:c>
      <x:c r="B9" s="122" t="str">
        <x:v>TG障子</x:v>
      </x:c>
      <x:c r="C9" s="122"/>
      <x:c r="D9" s="122" t="str">
        <x:v>最終</x:v>
      </x:c>
      <x:c r="E9" s="122" t="str">
        <x:f>IF(AND(E5="包絡内",E6="境界内"),"通常候補として確定可","要確認")</x:f>
        <x:v>通常候補として確定可</x:v>
      </x:c>
      <x:c r="F9" s="122" t="str">
        <x:v>共通仕様</x:v>
      </x:c>
      <x:c r="G9" s="122" t="str">
        <x:v>特殊境界以外は自動判定</x:v>
      </x:c>
    </x:row>
    <x:row r="10">
      <x:c r="A10" s="122" t="str">
        <x:v>採寸W (WS)</x:v>
      </x:c>
      <x:c r="B10" s="123" t="n">
        <x:v>1650</x:v>
      </x:c>
      <x:c r="C10" s="122"/>
      <x:c r="D10" s="122"/>
      <x:c r="E10" s="122"/>
      <x:c r="F10" s="122"/>
      <x:c r="G10" s="122"/>
    </x:row>
    <x:row r="11">
      <x:c r="A11" s="122" t="str">
        <x:v>採寸H (HS)</x:v>
      </x:c>
      <x:c r="B11" s="123" t="n">
        <x:v>1100</x:v>
      </x:c>
      <x:c r="C11" s="122"/>
      <x:c r="D11" s="122"/>
      <x:c r="E11" s="122"/>
      <x:c r="F11" s="122"/>
      <x:c r="G11" s="122"/>
    </x:row>
    <x:row r="12">
      <x:c r="A12" s="122" t="str">
        <x:v>出来寸W (WD)</x:v>
      </x:c>
      <x:c r="B12" s="123" t="n">
        <x:f>B10-10</x:f>
        <x:v>1640</x:v>
      </x:c>
      <x:c r="C12" s="122"/>
      <x:c r="D12" s="122"/>
      <x:c r="E12" s="122"/>
      <x:c r="F12" s="122"/>
      <x:c r="G12" s="122"/>
    </x:row>
    <x:row r="13">
      <x:c r="A13" s="122" t="str">
        <x:v>出来寸H (HD)</x:v>
      </x:c>
      <x:c r="B13" s="123" t="n">
        <x:f>B11-10</x:f>
        <x:v>1090</x:v>
      </x:c>
      <x:c r="C13" s="122"/>
      <x:c r="D13" s="122"/>
      <x:c r="E13" s="122"/>
      <x:c r="F13" s="122"/>
      <x:c r="G13" s="122"/>
    </x:row>
    <x:row r="14">
      <x:c r="A14" s="122" t="str">
        <x:v>網戸</x:v>
      </x:c>
      <x:c r="B14" s="122" t="str">
        <x:v>TW-SCR-NOBAR</x:v>
      </x:c>
      <x:c r="C14" s="122"/>
      <x:c r="D14" s="122"/>
      <x:c r="E14" s="122"/>
      <x:c r="F14" s="122"/>
      <x:c r="G14" s="122"/>
    </x:row>
    <x:row r="15">
      <x:c r="A15" s="122" t="str">
        <x:v>ガス</x:v>
      </x:c>
      <x:c r="B15" s="122" t="str">
        <x:v>TW-GAS-ARGON</x:v>
      </x:c>
      <x:c r="C15" s="122"/>
      <x:c r="D15" s="122"/>
      <x:c r="E15" s="122"/>
      <x:c r="F15" s="122"/>
      <x:c r="G15" s="122"/>
    </x:row>
    <x:row r="16">
      <x:c r="A16" s="122" t="str">
        <x:v>Low-E構成</x:v>
      </x:c>
      <x:c r="B16" s="122" t="str">
        <x:v>TW-GL-CC</x:v>
      </x:c>
      <x:c r="C16" s="122"/>
      <x:c r="D16" s="122"/>
      <x:c r="E16" s="122"/>
      <x:c r="F16" s="122"/>
      <x:c r="G16" s="122"/>
    </x:row>
  </x:sheetData>
  <x:mergeCells>
    <x:mergeCell ref="A1:F1"/>
    <x:mergeCell ref="A2:F2"/>
    <x:mergeCell ref="A1:G1"/>
    <x:mergeCell ref="A2:G2"/>
  </x:mergeCells>
  <x:dataValidations count="7">
    <x:dataValidation type="list" sqref="B6">
      <x:formula1>"RPL_ROOM_SLD,RPL_ROOM_VS_OP,RPL_ROOM_VS_CAM,RPL_ROOM_HS_OP,RPL_ROOM_HS_CAM,RPL_ROOM_DHFS,RPL_ROOM_FIX_OUT,RPL_ROOM_FIX_IN"</x:formula1>
    </x:dataValidation>
    <x:dataValidation type="list" sqref="B7">
      <x:formula1>"2枚建,4枚建"</x:formula1>
    </x:dataValidation>
    <x:dataValidation type="list" sqref="B8">
      <x:formula1>"マド,テラス"</x:formula1>
    </x:dataValidation>
    <x:dataValidation type="list" sqref="B9">
      <x:formula1>"TG障子,把手障子,大壁和室用障子"</x:formula1>
    </x:dataValidation>
    <x:dataValidation type="list" sqref="B15">
      <x:formula1>"TW-GAS-ARGON,TW-GAS-KRYPTON"</x:formula1>
    </x:dataValidation>
    <x:dataValidation type="list" sqref="B16">
      <x:formula1>"TW-GL-CC,TW-GL-GG,TW-GL-CG,TW-GL-CB,TW-GL-GENERAL-CLEAR"</x:formula1>
    </x:dataValidation>
    <x:dataValidation type="list" sqref="B14">
      <x:formula1>"TW-SCR-NONE,TW-SCR-NOBAR,TW-SCR-BAR"</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24" hidden="0" customWidth="1"/>
    <x:col min="2" max="2" width="28" hidden="0" customWidth="1"/>
    <x:col min="3" max="3" width="18" hidden="0" customWidth="1"/>
    <x:col min="4" max="4" width="18" hidden="0" customWidth="1"/>
    <x:col min="5" max="5" width="26" hidden="0" customWidth="1"/>
    <x:col min="6" max="6" width="38" hidden="0" customWidth="1"/>
    <x:col min="7" max="7" width="30" hidden="0" customWidth="1"/>
    <x:col min="8" max="8" width="20" hidden="0" customWidth="1"/>
    <x:col min="9" max="9" width="18" hidden="0" customWidth="1"/>
  </x:cols>
  <x:sheetData>
    <x:row r="1">
      <x:c r="A1" s="178" t="str">
        <x:v>10C_化粧カバー見付｜TWタイプ</x:v>
      </x:c>
      <x:c r="B1" s="178"/>
      <x:c r="C1" s="178"/>
      <x:c r="D1" s="178"/>
      <x:c r="E1" s="178"/>
      <x:c r="F1" s="178"/>
      <x:c r="G1" s="178"/>
      <x:c r="H1" s="178"/>
      <x:c r="I1" s="127"/>
    </x:row>
    <x:row r="2" ht="36" customHeight="1">
      <x:c r="A2" s="179" t="str">
        <x:v>既設枠見付から表示候補を絞る。特小は室外側施工困難等の特殊納まりで使用するため最終現調確認を残す。</x:v>
      </x:c>
      <x:c r="B2" s="179"/>
      <x:c r="C2" s="179"/>
      <x:c r="D2" s="179"/>
      <x:c r="E2" s="179"/>
      <x:c r="F2" s="179"/>
      <x:c r="G2" s="179"/>
      <x:c r="H2" s="179"/>
      <x:c r="I2" s="133"/>
    </x:row>
    <x:row r="4">
      <x:c r="A4" s="181" t="str">
        <x:v>rule_id</x:v>
      </x:c>
      <x:c r="B4" s="182" t="str">
        <x:v>cover_type</x:v>
      </x:c>
      <x:c r="C4" s="182" t="str">
        <x:v>上枠見付</x:v>
      </x:c>
      <x:c r="D4" s="182" t="str">
        <x:v>下枠見付</x:v>
      </x:c>
      <x:c r="E4" s="182" t="str">
        <x:v>縦枠見付</x:v>
      </x:c>
      <x:c r="F4" s="182" t="str">
        <x:v>施工区分</x:v>
      </x:c>
      <x:c r="G4" s="182" t="str">
        <x:v>status</x:v>
      </x:c>
      <x:c r="H4" s="183" t="str">
        <x:v>evidence</x:v>
      </x:c>
      <x:c r="I4" s="143"/>
    </x:row>
    <x:row r="5">
      <x:c r="A5" s="184" t="str">
        <x:v>TW-COV-LARGE</x:v>
      </x:c>
      <x:c r="B5" s="185" t="str">
        <x:v>大</x:v>
      </x:c>
      <x:c r="C5" s="185" t="str">
        <x:v>上≤84.5</x:v>
      </x:c>
      <x:c r="D5" s="185" t="str">
        <x:v>下≤98.5</x:v>
      </x:c>
      <x:c r="E5" s="185" t="str">
        <x:v>縦≤82.5</x:v>
      </x:c>
      <x:c r="F5" s="185" t="str">
        <x:v>標準施工</x:v>
      </x:c>
      <x:c r="G5" s="185" t="str">
        <x:v>COMPLETE</x:v>
      </x:c>
      <x:c r="H5" s="186" t="str">
        <x:v>TW-EV-011</x:v>
      </x:c>
      <x:c r="I5" s="146"/>
    </x:row>
    <x:row r="6">
      <x:c r="A6" s="184" t="str">
        <x:v>TW-COV-LARGE-VMID</x:v>
      </x:c>
      <x:c r="B6" s="185" t="str">
        <x:v>大（縦のみ中）</x:v>
      </x:c>
      <x:c r="C6" s="185" t="str">
        <x:v>上≤84.5</x:v>
      </x:c>
      <x:c r="D6" s="185" t="str">
        <x:v>下≤98.5</x:v>
      </x:c>
      <x:c r="E6" s="185" t="str">
        <x:v>縦≤32.5</x:v>
      </x:c>
      <x:c r="F6" s="185" t="str">
        <x:v>標準施工</x:v>
      </x:c>
      <x:c r="G6" s="185" t="str">
        <x:v>COMPLETE</x:v>
      </x:c>
      <x:c r="H6" s="186" t="str">
        <x:v>TW-EV-011</x:v>
      </x:c>
      <x:c r="I6" s="146"/>
    </x:row>
    <x:row r="7">
      <x:c r="A7" s="184" t="str">
        <x:v>TW-COV-MID</x:v>
      </x:c>
      <x:c r="B7" s="185" t="str">
        <x:v>中</x:v>
      </x:c>
      <x:c r="C7" s="185" t="str">
        <x:v>上≤49.5</x:v>
      </x:c>
      <x:c r="D7" s="185" t="str">
        <x:v>下≤63.5</x:v>
      </x:c>
      <x:c r="E7" s="185" t="str">
        <x:v>縦≤32.5</x:v>
      </x:c>
      <x:c r="F7" s="185" t="str">
        <x:v>標準施工</x:v>
      </x:c>
      <x:c r="G7" s="185" t="str">
        <x:v>COMPLETE</x:v>
      </x:c>
      <x:c r="H7" s="186" t="str">
        <x:v>TW-EV-011</x:v>
      </x:c>
      <x:c r="I7" s="146"/>
    </x:row>
    <x:row r="8">
      <x:c r="A8" s="184" t="str">
        <x:v>TW-COV-MID-VLARGE</x:v>
      </x:c>
      <x:c r="B8" s="185" t="str">
        <x:v>中（縦のみ大）</x:v>
      </x:c>
      <x:c r="C8" s="185" t="str">
        <x:v>上≤49.5</x:v>
      </x:c>
      <x:c r="D8" s="185" t="str">
        <x:v>下≤63.5</x:v>
      </x:c>
      <x:c r="E8" s="185" t="str">
        <x:v>縦≤82.5</x:v>
      </x:c>
      <x:c r="F8" s="185" t="str">
        <x:v>標準施工</x:v>
      </x:c>
      <x:c r="G8" s="185" t="str">
        <x:v>COMPLETE</x:v>
      </x:c>
      <x:c r="H8" s="186" t="str">
        <x:v>TW-EV-011</x:v>
      </x:c>
      <x:c r="I8" s="146"/>
    </x:row>
    <x:row r="9">
      <x:c r="A9" s="184" t="str">
        <x:v>TW-COV-SMALL</x:v>
      </x:c>
      <x:c r="B9" s="185" t="str">
        <x:v>小</x:v>
      </x:c>
      <x:c r="C9" s="185" t="str">
        <x:v>上≤24.5</x:v>
      </x:c>
      <x:c r="D9" s="185" t="str">
        <x:v>下≤38.5</x:v>
      </x:c>
      <x:c r="E9" s="185" t="str">
        <x:v>縦≤7.5</x:v>
      </x:c>
      <x:c r="F9" s="185" t="str">
        <x:v>標準/内嵌め候補</x:v>
      </x:c>
      <x:c r="G9" s="185" t="str">
        <x:v>COMPLETE</x:v>
      </x:c>
      <x:c r="H9" s="186" t="str">
        <x:v>TW-EV-011</x:v>
      </x:c>
      <x:c r="I9" s="146"/>
    </x:row>
    <x:row r="10">
      <x:c r="A10" s="184" t="str">
        <x:v>TW-COV-SMALL-BMID</x:v>
      </x:c>
      <x:c r="B10" s="185" t="str">
        <x:v>小（下のみ中）</x:v>
      </x:c>
      <x:c r="C10" s="185" t="str">
        <x:v>上≤24.5</x:v>
      </x:c>
      <x:c r="D10" s="185" t="str">
        <x:v>下≤63.5</x:v>
      </x:c>
      <x:c r="E10" s="185" t="str">
        <x:v>縦≤7.5</x:v>
      </x:c>
      <x:c r="F10" s="185" t="str">
        <x:v>内嵌め候補</x:v>
      </x:c>
      <x:c r="G10" s="185" t="str">
        <x:v>COMPLETE</x:v>
      </x:c>
      <x:c r="H10" s="186" t="str">
        <x:v>TW-EV-011</x:v>
      </x:c>
      <x:c r="I10" s="146"/>
    </x:row>
    <x:row r="11">
      <x:c r="A11" s="187" t="str">
        <x:v>TW-COV-XS</x:v>
      </x:c>
      <x:c r="B11" s="188" t="str">
        <x:v>特小</x:v>
      </x:c>
      <x:c r="C11" s="188" t="str">
        <x:v>上≤24.5</x:v>
      </x:c>
      <x:c r="D11" s="188" t="str">
        <x:v>下≤38.5</x:v>
      </x:c>
      <x:c r="E11" s="188" t="str">
        <x:v>縦=非適用/現調図確認</x:v>
      </x:c>
      <x:c r="F11" s="188" t="str">
        <x:v>内嵌め・雨戸/シャッター等</x:v>
      </x:c>
      <x:c r="G11" s="188" t="str">
        <x:v>COMPLETE_WITH_EXTERNAL_CHECK</x:v>
      </x:c>
      <x:c r="H11" s="189" t="str">
        <x:v>TW-EV-011</x:v>
      </x:c>
      <x:c r="I11" s="146"/>
    </x:row>
    <x:row r="12">
      <x:c r="A12" s="144"/>
      <x:c r="B12" s="145"/>
      <x:c r="C12" s="145"/>
      <x:c r="D12" s="145"/>
      <x:c r="E12" s="145"/>
      <x:c r="F12" s="145"/>
      <x:c r="G12" s="145"/>
      <x:c r="H12" s="145"/>
      <x:c r="I12" s="146"/>
    </x:row>
    <x:row r="13">
      <x:c r="A13" s="144"/>
      <x:c r="B13" s="145"/>
      <x:c r="C13" s="145"/>
      <x:c r="D13" s="145"/>
      <x:c r="E13" s="145"/>
      <x:c r="F13" s="145"/>
      <x:c r="G13" s="145"/>
      <x:c r="H13" s="145"/>
      <x:c r="I13" s="146"/>
    </x:row>
    <x:row r="14">
      <x:c r="A14" s="144"/>
      <x:c r="B14" s="145"/>
      <x:c r="C14" s="145"/>
      <x:c r="D14" s="145"/>
      <x:c r="E14" s="145"/>
      <x:c r="F14" s="145"/>
      <x:c r="G14" s="145"/>
      <x:c r="H14" s="145"/>
      <x:c r="I14" s="146"/>
    </x:row>
    <x:row r="15">
      <x:c r="A15" s="144"/>
      <x:c r="B15" s="145"/>
      <x:c r="C15" s="145"/>
      <x:c r="D15" s="145"/>
      <x:c r="E15" s="145"/>
      <x:c r="F15" s="145"/>
      <x:c r="G15" s="145"/>
      <x:c r="H15" s="145"/>
      <x:c r="I15" s="146"/>
    </x:row>
    <x:row r="16">
      <x:c r="A16" s="147"/>
      <x:c r="B16" s="148"/>
      <x:c r="C16" s="148"/>
      <x:c r="D16" s="148"/>
      <x:c r="E16" s="148"/>
      <x:c r="F16" s="148"/>
      <x:c r="G16" s="148"/>
      <x:c r="H16" s="148"/>
      <x:c r="I16" s="149"/>
    </x:row>
  </x:sheetData>
  <x:mergeCells>
    <x:mergeCell ref="A1:I1"/>
    <x:mergeCell ref="A2:I2"/>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38" hidden="0" customWidth="1"/>
    <x:col min="2" max="2" width="48" hidden="0" customWidth="1"/>
    <x:col min="3" max="3" width="34" hidden="0" customWidth="1"/>
    <x:col min="4" max="4" width="26" hidden="0" customWidth="1"/>
    <x:col min="5" max="5" width="62" hidden="0" customWidth="1"/>
    <x:col min="6" max="6" width="18" hidden="0" customWidth="1"/>
    <x:col min="7" max="7" width="54" hidden="0" customWidth="1"/>
    <x:col min="8" max="8" width="18" hidden="0" customWidth="1"/>
  </x:cols>
  <x:sheetData>
    <x:row r="1">
      <x:c r="A1" s="178" t="str">
        <x:v>12_共通参照｜重複登録を避ける共有ルール</x:v>
      </x:c>
      <x:c r="B1" s="178"/>
      <x:c r="C1" s="178"/>
      <x:c r="D1" s="178"/>
      <x:c r="E1" s="178"/>
      <x:c r="F1" s="178"/>
      <x:c r="G1" s="178"/>
      <x:c r="H1" s="178"/>
    </x:row>
    <x:row r="3">
      <x:c r="A3" s="181" t="str">
        <x:v>shared_rule_id</x:v>
      </x:c>
      <x:c r="B3" s="182" t="str">
        <x:v>内容</x:v>
      </x:c>
      <x:c r="C3" s="182" t="str">
        <x:v>参照元</x:v>
      </x:c>
      <x:c r="D3" s="182" t="str">
        <x:v>参照シート</x:v>
      </x:c>
      <x:c r="E3" s="182" t="str">
        <x:v>reference_url</x:v>
      </x:c>
      <x:c r="F3" s="182" t="str">
        <x:v>relation</x:v>
      </x:c>
      <x:c r="G3" s="182" t="str">
        <x:v>TW側の扱い</x:v>
      </x:c>
      <x:c r="H3" s="183" t="str">
        <x:v>status</x:v>
      </x:c>
    </x:row>
    <x:row r="4">
      <x:c r="A4" s="184" t="str">
        <x:v>SHARED-RPL-STRUCTURE-FIRE</x:v>
      </x:c>
      <x:c r="B4" s="185" t="str">
        <x:v>構造/防火/既設材質の共通適用条件</x:v>
      </x:c>
      <x:c r="C4" s="185" t="str">
        <x:v>居室仕様 v1.0 完成版</x:v>
      </x:c>
      <x:c r="D4" s="185" t="str">
        <x:v>10_適用条件</x:v>
      </x:c>
      <x:c r="E4" s="185" t="str">
        <x:v>https://drive.google.com/file/d/1uTlmHsO_czluTsfdpGMarw_q8qe43cp9/view</x:v>
      </x:c>
      <x:c r="F4" s="185" t="str">
        <x:v>REFERENCE</x:v>
      </x:c>
      <x:c r="G4" s="185" t="str">
        <x:v>TW固有差分だけ10_適用条件へ追加</x:v>
      </x:c>
      <x:c r="H4" s="186" t="str">
        <x:v>COMPLETE</x:v>
      </x:c>
    </x:row>
    <x:row r="5">
      <x:c r="A5" s="184" t="str">
        <x:v>SHARED-RPL-EXISTING-COMPAT-P124</x:v>
      </x:c>
      <x:c r="B5" s="185" t="str">
        <x:v>既設窓種対応可否</x:v>
      </x:c>
      <x:c r="C5" s="185" t="str">
        <x:v>居室仕様 v1.0 完成版</x:v>
      </x:c>
      <x:c r="D5" s="185" t="str">
        <x:v>10A_既設窓互換</x:v>
      </x:c>
      <x:c r="E5" s="185" t="str">
        <x:v>https://drive.google.com/file/d/1uTlmHsO_czluTsfdpGMarw_q8qe43cp9/view</x:v>
      </x:c>
      <x:c r="F5" s="185" t="str">
        <x:v>REFERENCE</x:v>
      </x:c>
      <x:c r="G5" s="185" t="str">
        <x:v>公式p.124の共通表を再利用</x:v>
      </x:c>
      <x:c r="H5" s="186" t="str">
        <x:v>COMPLETE</x:v>
      </x:c>
    </x:row>
    <x:row r="6">
      <x:c r="A6" s="184" t="str">
        <x:v>SHARED-RPL-SURVEY-BASIC</x:v>
      </x:c>
      <x:c r="B6" s="185" t="str">
        <x:v>3点採寸・ねじれ等の基本現調思想</x:v>
      </x:c>
      <x:c r="C6" s="185" t="str">
        <x:v>居室仕様 v1.0 完成版</x:v>
      </x:c>
      <x:c r="D6" s="185" t="str">
        <x:v>10B_現調項目</x:v>
      </x:c>
      <x:c r="E6" s="185" t="str">
        <x:v>https://drive.google.com/file/d/1uTlmHsO_czluTsfdpGMarw_q8qe43cp9/view</x:v>
      </x:c>
      <x:c r="F6" s="185" t="str">
        <x:v>REFERENCE</x:v>
      </x:c>
      <x:c r="G6" s="185" t="str">
        <x:v>TW固有寸法はローカル上書き</x:v>
      </x:c>
      <x:c r="H6" s="186" t="str">
        <x:v>COMPLETE</x:v>
      </x:c>
    </x:row>
    <x:row r="7">
      <x:c r="A7" s="187" t="str">
        <x:v>SHARED-COMMON-SPEC</x:v>
      </x:c>
      <x:c r="B7" s="188" t="str">
        <x:v>サッシ商品マスター共通仕様</x:v>
      </x:c>
      <x:c r="C7" s="188" t="str">
        <x:v>共通仕様書_v0.1</x:v>
      </x:c>
      <x:c r="D7" s="188" t="str">
        <x:v>全体</x:v>
      </x:c>
      <x:c r="E7" s="188" t="str">
        <x:v>https://docs.google.com/document/d/1MfixkbV1cZ__DtBknEKsix_nnrXQqjc-LZtXUHwJv_A/edit</x:v>
      </x:c>
      <x:c r="F7" s="188" t="str">
        <x:v>REFERENCE</x:v>
      </x:c>
      <x:c r="G7" s="188" t="str">
        <x:v>UI非表示・Evidence・外部確認ポリシー</x:v>
      </x:c>
      <x:c r="H7" s="189" t="str">
        <x:v>COMPLETE</x:v>
      </x:c>
    </x:row>
  </x:sheetData>
  <x:mergeCells>
    <x:mergeCell ref="A1:H1"/>
  </x:mergeCells>
  <x:pageMargins left="0.7" right="0.7" top="0.75" bottom="0.75" header="0.3" footer="0.3"/>
</x:worksheet>
</file>