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1aed34f98443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90_Evidence" sheetId="1" r:id="R267dc424766e4dba"/>
    <x:sheet xmlns:r="http://schemas.openxmlformats.org/officeDocument/2006/relationships" name="00_INDEX" sheetId="2" r:id="R3e38dd470b4546ed"/>
    <x:sheet xmlns:r="http://schemas.openxmlformats.org/officeDocument/2006/relationships" name="00_README" sheetId="3" r:id="Ra7478d373ae94658"/>
    <x:sheet xmlns:r="http://schemas.openxmlformats.org/officeDocument/2006/relationships" name="01_入力フロー" sheetId="4" r:id="Re92a65ad4ca947df"/>
    <x:sheet xmlns:r="http://schemas.openxmlformats.org/officeDocument/2006/relationships" name="02_取替方式" sheetId="5" r:id="R640bab79e42444b1"/>
    <x:sheet xmlns:r="http://schemas.openxmlformats.org/officeDocument/2006/relationships" name="02A_仕様区分" sheetId="6" r:id="R6402b05714814370"/>
    <x:sheet xmlns:r="http://schemas.openxmlformats.org/officeDocument/2006/relationships" name="03_窓種" sheetId="7" r:id="Rd738667e50304da2"/>
    <x:sheet xmlns:r="http://schemas.openxmlformats.org/officeDocument/2006/relationships" name="03A_枠仕様" sheetId="8" r:id="Rcfddc6c0404e41e3"/>
    <x:sheet xmlns:r="http://schemas.openxmlformats.org/officeDocument/2006/relationships" name="03B_窓種枠設定" sheetId="9" r:id="R5385cd98098b494c"/>
    <x:sheet xmlns:r="http://schemas.openxmlformats.org/officeDocument/2006/relationships" name="04_窓種固有仕様" sheetId="10" r:id="R9fa7463245354b06"/>
    <x:sheet xmlns:r="http://schemas.openxmlformats.org/officeDocument/2006/relationships" name="05_サイズルール" sheetId="11" r:id="Rd40c607777c1467d"/>
    <x:sheet xmlns:r="http://schemas.openxmlformats.org/officeDocument/2006/relationships" name="05A_サイズ区間" sheetId="12" r:id="R1b19dc80e1ef442d"/>
    <x:sheet xmlns:r="http://schemas.openxmlformats.org/officeDocument/2006/relationships" name="05B_境界ルール" sheetId="13" r:id="Rbe6e4e9f1cf94acd"/>
    <x:sheet xmlns:r="http://schemas.openxmlformats.org/officeDocument/2006/relationships" name="06_色" sheetId="14" r:id="Rba77df2484cd4216"/>
    <x:sheet xmlns:r="http://schemas.openxmlformats.org/officeDocument/2006/relationships" name="06A_色適用条件" sheetId="15" r:id="R3932ba62a96f4f65"/>
    <x:sheet xmlns:r="http://schemas.openxmlformats.org/officeDocument/2006/relationships" name="07_網戸" sheetId="16" r:id="R021b5c5e33ec4ca6"/>
    <x:sheet xmlns:r="http://schemas.openxmlformats.org/officeDocument/2006/relationships" name="07A_網戸適用条件" sheetId="17" r:id="R4e98f3c7d13f499b"/>
    <x:sheet xmlns:r="http://schemas.openxmlformats.org/officeDocument/2006/relationships" name="08_ガラス" sheetId="18" r:id="Rbffed13c36ed449e"/>
    <x:sheet xmlns:r="http://schemas.openxmlformats.org/officeDocument/2006/relationships" name="08A_ガラス適用条件" sheetId="19" r:id="Rf9d037d7eb4043c3"/>
    <x:sheet xmlns:r="http://schemas.openxmlformats.org/officeDocument/2006/relationships" name="09_その他OP" sheetId="20" r:id="R77f2a0748fd94f24"/>
    <x:sheet xmlns:r="http://schemas.openxmlformats.org/officeDocument/2006/relationships" name="09A_OP依存関係" sheetId="21" r:id="Rc73d05e4926f47ac"/>
    <x:sheet xmlns:r="http://schemas.openxmlformats.org/officeDocument/2006/relationships" name="10_適用条件" sheetId="22" r:id="Raecb361046ad4f82"/>
    <x:sheet xmlns:r="http://schemas.openxmlformats.org/officeDocument/2006/relationships" name="10A_既設窓互換" sheetId="23" r:id="R57626b3d366740c2"/>
    <x:sheet xmlns:r="http://schemas.openxmlformats.org/officeDocument/2006/relationships" name="10B_現調項目" sheetId="24" r:id="R38293e761e644d25"/>
    <x:sheet xmlns:r="http://schemas.openxmlformats.org/officeDocument/2006/relationships" name="99_QA" sheetId="25" r:id="R1acaa5e2cc3f4c63"/>
    <x:sheet xmlns:r="http://schemas.openxmlformats.org/officeDocument/2006/relationships" name="04A_開口構成" sheetId="26" r:id="R9b19cd5534774c34"/>
    <x:sheet xmlns:r="http://schemas.openxmlformats.org/officeDocument/2006/relationships" name="11_見積入力テスト" sheetId="27" r:id="Re69569a30d884ba3"/>
    <x:sheet xmlns:r="http://schemas.openxmlformats.org/officeDocument/2006/relationships" name="10C_化粧カバー見付" sheetId="28" r:id="Rfd73b6859ade4c14"/>
    <x:sheet xmlns:r="http://schemas.openxmlformats.org/officeDocument/2006/relationships" name="02B_参照商品" sheetId="29" r:id="R73a5363f84e44017"/>
    <x:sheet xmlns:r="http://schemas.openxmlformats.org/officeDocument/2006/relationships" name="02C_新設サッシ手配方式" sheetId="30" r:id="R88e22b8da493439c"/>
    <x:sheet xmlns:r="http://schemas.openxmlformats.org/officeDocument/2006/relationships" name="03C_対応TW窓種" sheetId="31" r:id="R186d7639cc05442f"/>
    <x:sheet xmlns:r="http://schemas.openxmlformats.org/officeDocument/2006/relationships" name="03D_TW参照制限" sheetId="32" r:id="R11dc7809c3054af8"/>
    <x:sheet xmlns:r="http://schemas.openxmlformats.org/officeDocument/2006/relationships" name="05C_寸法変換" sheetId="33" r:id="R627c3e5a31634823"/>
    <x:sheet xmlns:r="http://schemas.openxmlformats.org/officeDocument/2006/relationships" name="12_共通参照" sheetId="34" r:id="Ra495668d44984d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4"/>
      <x:color rgb="FFFFFFFF"/>
      <x:name val="Carlito"/>
    </x:font>
    <x:font>
      <x:i/>
      <x:sz val="9"/>
      <x:color rgb="FF1F2937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i/>
      <x:sz val="9"/>
      <x:name val="Carlito"/>
    </x:font>
    <x:font>
      <x:b/>
      <x:sz val="9"/>
      <x:color rgb="FFFFFFFF"/>
      <x:name val="Carlito"/>
    </x:font>
    <x:font>
      <x:b/>
      <x:sz val="9"/>
      <x:color rgb="FF1F2937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5E7EB"/>
      </x:patternFill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E5E7EB"/>
      </x:patternFill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E5E7EB"/>
      </x:patternFill>
    </x:fill>
  </x:fills>
  <x:borders count="3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6" xfId="0" applyNumberFormat="1" applyFont="1" applyFill="1" applyBorder="1" applyAlignment="1">
      <x:alignment vertical="top" wrapText="1"/>
    </x:xf>
    <x:xf numFmtId="200" fontId="4" fillId="0" borderId="9" xfId="0" applyNumberFormat="1" applyFont="1" applyFill="1" applyBorder="1" applyAlignment="1">
      <x:alignment vertical="top" wrapText="1"/>
    </x:xf>
    <x:xf numFmtId="200" fontId="4" fillId="0" borderId="15" xfId="0" applyNumberFormat="1" applyFont="1" applyFill="1" applyBorder="1" applyAlignment="1">
      <x:alignment vertical="top" wrapText="1"/>
    </x:xf>
    <x:xf numFmtId="200" fontId="4" fillId="0" borderId="18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3" xfId="0" applyNumberFormat="1" applyFont="1" applyFill="1" applyBorder="1"/>
    <x:xf numFmtId="0" fontId="3" fillId="4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0" fillId="0" borderId="12" xfId="0" applyNumberFormat="1" applyFont="1" applyFill="1" applyBorder="1"/>
    <x:xf numFmtId="0" fontId="3" fillId="4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1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7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2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top" wrapText="1"/>
    </x:xf>
    <x:xf numFmtId="0" fontId="3" fillId="10" borderId="20" xfId="0" applyNumberFormat="1" applyFont="1" applyFill="1" applyBorder="1" applyAlignment="1">
      <x:alignment horizontal="center" vertical="center" wrapText="1"/>
    </x:xf>
    <x:xf numFmtId="0" fontId="3" fillId="10" borderId="21" xfId="0" applyNumberFormat="1" applyFont="1" applyFill="1" applyBorder="1" applyAlignment="1">
      <x:alignment horizontal="center" vertical="center" wrapText="1"/>
    </x:xf>
    <x:xf numFmtId="0" fontId="3" fillId="10" borderId="22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0" borderId="24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4" fillId="0" borderId="26" xfId="0" applyNumberFormat="1" applyFont="1" applyFill="1" applyBorder="1" applyAlignment="1">
      <x:alignment vertical="top" wrapText="1"/>
    </x:xf>
    <x:xf numFmtId="0" fontId="4" fillId="0" borderId="27" xfId="0" applyNumberFormat="1" applyFont="1" applyFill="1" applyBorder="1" applyAlignment="1">
      <x:alignment vertical="top" wrapText="1"/>
    </x:xf>
    <x:xf numFmtId="0" fontId="4" fillId="0" borderId="28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0" borderId="2" xfId="0" applyNumberFormat="1" applyFont="1" applyFill="1" applyBorder="1" applyAlignment="1">
      <x:alignment vertical="top" wrapText="1"/>
    </x:xf>
    <x:xf numFmtId="0" fontId="6" fillId="10" borderId="2" xfId="0" applyNumberFormat="1" applyFont="1" applyFill="1" applyBorder="1" applyAlignment="1">
      <x:alignment vertical="top" wrapText="1"/>
    </x:xf>
    <x:xf numFmtId="0" fontId="6" fillId="10" borderId="2" xfId="0" applyNumberFormat="1" applyFont="1" applyFill="1" applyBorder="1" applyAlignment="1">
      <x:alignment horizontal="center" vertical="top" wrapText="1"/>
    </x:xf>
    <x:xf numFmtId="0" fontId="6" fillId="10" borderId="2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horizontal="center" vertical="top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6" fillId="10" borderId="20" xfId="0" applyNumberFormat="1" applyFont="1" applyFill="1" applyBorder="1" applyAlignment="1">
      <x:alignment horizontal="center" vertical="center" wrapText="1"/>
    </x:xf>
    <x:xf numFmtId="0" fontId="6" fillId="10" borderId="21" xfId="0" applyNumberFormat="1" applyFont="1" applyFill="1" applyBorder="1" applyAlignment="1">
      <x:alignment horizontal="center" vertical="center" wrapText="1"/>
    </x:xf>
    <x:xf numFmtId="0" fontId="6" fillId="10" borderId="22" xfId="0" applyNumberFormat="1" applyFont="1" applyFill="1" applyBorder="1" applyAlignment="1">
      <x:alignment horizontal="center" vertical="center" wrapText="1"/>
    </x:xf>
    <x:xf numFmtId="0" fontId="4" fillId="5" borderId="24" xfId="0" applyNumberFormat="1" applyFont="1" applyFill="1" applyBorder="1" applyAlignment="1">
      <x:alignment vertical="top" wrapText="1"/>
    </x:xf>
    <x:xf numFmtId="0" fontId="4" fillId="6" borderId="24" xfId="0" applyNumberFormat="1" applyFont="1" applyFill="1" applyBorder="1" applyAlignment="1">
      <x:alignment vertical="top" wrapText="1"/>
    </x:xf>
    <x:xf numFmtId="0" fontId="4" fillId="7" borderId="27" xfId="0" applyNumberFormat="1" applyFont="1" applyFill="1" applyBorder="1" applyAlignment="1">
      <x:alignment vertical="top" wrapText="1"/>
    </x:xf>
    <x:xf numFmtId="0" fontId="4" fillId="11" borderId="24" xfId="0" applyNumberFormat="1" applyFont="1" applyFill="1" applyBorder="1" applyAlignment="1">
      <x:alignment vertical="top" wrapText="1"/>
    </x:xf>
    <x:xf numFmtId="0" fontId="4" fillId="12" borderId="24" xfId="0" applyNumberFormat="1" applyFont="1" applyFill="1" applyBorder="1" applyAlignment="1">
      <x:alignment vertical="top" wrapText="1"/>
    </x:xf>
    <x:xf numFmtId="0" fontId="4" fillId="13" borderId="27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center"/>
    </x:xf>
    <x:xf numFmtId="0" fontId="2" fillId="15" borderId="0" xfId="0" applyNumberFormat="1" applyFont="1" applyFill="1" applyBorder="1" applyAlignment="1">
      <x:alignment vertic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0" fontId="3" fillId="16" borderId="29" xfId="0" applyNumberFormat="1" applyFont="1" applyFill="1" applyBorder="1" applyAlignment="1">
      <x:alignment horizontal="center" vertical="center" wrapText="1"/>
    </x:xf>
    <x:xf numFmtId="0" fontId="3" fillId="16" borderId="30" xfId="0" applyNumberFormat="1" applyFont="1" applyFill="1" applyBorder="1" applyAlignment="1">
      <x:alignment horizontal="center" vertical="center" wrapText="1"/>
    </x:xf>
    <x:xf numFmtId="0" fontId="3" fillId="16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vertical="top" wrapText="1"/>
    </x:xf>
    <x:xf numFmtId="0" fontId="4" fillId="0" borderId="33" xfId="0" applyNumberFormat="1" applyFont="1" applyFill="1" applyBorder="1" applyAlignment="1">
      <x:alignment vertical="top" wrapText="1"/>
    </x:xf>
    <x:xf numFmtId="0" fontId="4" fillId="0" borderId="34" xfId="0" applyNumberFormat="1" applyFont="1" applyFill="1" applyBorder="1" applyAlignment="1">
      <x:alignment vertical="top" wrapText="1"/>
    </x:xf>
    <x:xf numFmtId="0" fontId="4" fillId="0" borderId="35" xfId="0" applyNumberFormat="1" applyFont="1" applyFill="1" applyBorder="1" applyAlignment="1">
      <x:alignment vertical="top" wrapText="1"/>
    </x:xf>
    <x:xf numFmtId="0" fontId="4" fillId="0" borderId="36" xfId="0" applyNumberFormat="1" applyFont="1" applyFill="1" applyBorder="1" applyAlignment="1">
      <x:alignment vertical="top" wrapText="1"/>
    </x:xf>
    <x:xf numFmtId="0" fontId="4" fillId="0" borderId="37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0" fontId="7" fillId="4" borderId="32" xfId="0" applyNumberFormat="1" applyFont="1" applyFill="1" applyBorder="1" applyAlignment="1">
      <x:alignment horizontal="center" vertical="top" wrapText="1"/>
    </x:xf>
    <x:xf numFmtId="0" fontId="7" fillId="4" borderId="34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4" fillId="0" borderId="3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33" xfId="0" applyNumberFormat="1" applyFont="1" applyFill="1" applyBorder="1" applyAlignment="1">
      <x:alignment horizontal="center" vertical="top" wrapText="1"/>
    </x:xf>
    <x:xf numFmtId="200" fontId="4" fillId="0" borderId="34" xfId="0" applyNumberFormat="1" applyFont="1" applyFill="1" applyBorder="1" applyAlignment="1">
      <x:alignment vertical="top" wrapText="1"/>
    </x:xf>
    <x:xf numFmtId="200" fontId="4" fillId="0" borderId="37" xfId="0" applyNumberFormat="1" applyFont="1" applyFill="1" applyBorder="1" applyAlignment="1">
      <x:alignment vertical="top" wrapText="1"/>
    </x:xf>
    <x:xf numFmtId="0" fontId="4" fillId="16" borderId="0" xfId="0" applyNumberFormat="1" applyFont="1" applyFill="1" applyBorder="1" applyAlignment="1">
      <x:alignment vertical="top" wrapText="1"/>
    </x:xf>
    <x:xf numFmtId="0" fontId="6" fillId="16" borderId="0" xfId="0" applyNumberFormat="1" applyFont="1" applyFill="1" applyBorder="1" applyAlignment="1">
      <x:alignment vertical="top" wrapText="1"/>
    </x:xf>
    <x:xf numFmtId="0" fontId="6" fillId="16" borderId="0" xfId="0" applyNumberFormat="1" applyFont="1" applyFill="1" applyBorder="1" applyAlignment="1">
      <x:alignment horizontal="center" vertical="top" wrapText="1"/>
    </x:xf>
    <x:xf numFmtId="0" fontId="6" fillId="16" borderId="0" xfId="0" applyNumberFormat="1" applyFont="1" applyFill="1" applyBorder="1" applyAlignment="1">
      <x:alignment horizontal="center" vertical="center" wrapText="1"/>
    </x:xf>
    <x:xf numFmtId="0" fontId="6" fillId="16" borderId="29" xfId="0" applyNumberFormat="1" applyFont="1" applyFill="1" applyBorder="1" applyAlignment="1">
      <x:alignment horizontal="center" vertical="center" wrapText="1"/>
    </x:xf>
    <x:xf numFmtId="0" fontId="6" fillId="16" borderId="30" xfId="0" applyNumberFormat="1" applyFont="1" applyFill="1" applyBorder="1" applyAlignment="1">
      <x:alignment horizontal="center" vertical="center" wrapText="1"/>
    </x:xf>
    <x:xf numFmtId="0" fontId="6" fillId="16" borderId="31" xfId="0" applyNumberFormat="1" applyFont="1" applyFill="1" applyBorder="1" applyAlignment="1">
      <x:alignment horizontal="center" vertical="center" wrapText="1"/>
    </x:xf>
    <x:xf numFmtId="0" fontId="7" fillId="4" borderId="20" xfId="0" applyNumberFormat="1" applyFont="1" applyFill="1" applyBorder="1" applyAlignment="1">
      <x:alignment horizontal="center" vertical="center" wrapText="1"/>
    </x:xf>
    <x:xf numFmtId="0" fontId="7" fillId="4" borderId="20" xfId="0" applyNumberFormat="1" applyFont="1" applyFill="1" applyBorder="1" applyAlignment="1">
      <x:alignment horizontal="center" vertical="top" wrapText="1"/>
    </x:xf>
    <x:xf numFmtId="0" fontId="7" fillId="4" borderId="35" xfId="0" applyNumberFormat="1" applyFont="1" applyFill="1" applyBorder="1" applyAlignment="1">
      <x:alignment horizontal="center" vertical="top" wrapText="1"/>
    </x:xf>
    <x:xf numFmtId="0" fontId="7" fillId="4" borderId="36" xfId="0" applyNumberFormat="1" applyFont="1" applyFill="1" applyBorder="1" applyAlignment="1">
      <x:alignment horizontal="center" vertical="top" wrapText="1"/>
    </x:xf>
    <x:xf numFmtId="0" fontId="7" fillId="4" borderId="37" xfId="0" applyNumberFormat="1" applyFont="1" applyFill="1" applyBorder="1" applyAlignment="1">
      <x:alignment horizontal="center" vertical="top" wrapText="1"/>
    </x:xf>
    <x:xf numFmtId="0" fontId="3" fillId="16" borderId="20" xfId="0" applyNumberFormat="1" applyFont="1" applyFill="1" applyBorder="1" applyAlignment="1">
      <x:alignment horizontal="center" vertical="center" wrapText="1"/>
    </x:xf>
    <x:xf numFmtId="0" fontId="4" fillId="0" borderId="20" xfId="0" applyNumberFormat="1" applyFont="1" applyFill="1" applyBorder="1" applyAlignment="1">
      <x:alignment vertical="top" wrapText="1"/>
    </x:xf>
    <x:xf numFmtId="0" fontId="6" fillId="16" borderId="20" xfId="0" applyNumberFormat="1" applyFont="1" applyFill="1" applyBorder="1" applyAlignment="1">
      <x:alignment horizontal="center" vertical="center" wrapText="1"/>
    </x:xf>
    <x:xf numFmtId="0" fontId="4" fillId="5" borderId="20" xfId="0" applyNumberFormat="1" applyFont="1" applyFill="1" applyBorder="1" applyAlignment="1">
      <x:alignment vertical="top" wrapText="1"/>
    </x:xf>
    <x:xf numFmtId="0" fontId="4" fillId="12" borderId="20" xfId="0" applyNumberFormat="1" applyFont="1" applyFill="1" applyBorder="1" applyAlignment="1">
      <x:alignment vertical="top" wrapText="1"/>
    </x:xf>
    <x:xf numFmtId="0" fontId="4" fillId="7" borderId="20" xfId="0" applyNumberFormat="1" applyFont="1" applyFill="1" applyBorder="1" applyAlignment="1">
      <x:alignment vertical="top" wrapText="1"/>
    </x:xf>
    <x:xf numFmtId="0" fontId="4" fillId="5" borderId="33" xfId="0" applyNumberFormat="1" applyFont="1" applyFill="1" applyBorder="1" applyAlignment="1">
      <x:alignment vertical="top" wrapText="1"/>
    </x:xf>
    <x:xf numFmtId="0" fontId="4" fillId="12" borderId="33" xfId="0" applyNumberFormat="1" applyFont="1" applyFill="1" applyBorder="1" applyAlignment="1">
      <x:alignment vertical="top" wrapText="1"/>
    </x:xf>
    <x:xf numFmtId="0" fontId="4" fillId="7" borderId="33" xfId="0" applyNumberFormat="1" applyFont="1" applyFill="1" applyBorder="1" applyAlignment="1">
      <x:alignment vertical="top" wrapText="1"/>
    </x:xf>
    <x:xf numFmtId="0" fontId="4" fillId="17" borderId="33" xfId="0" applyNumberFormat="1" applyFont="1" applyFill="1" applyBorder="1" applyAlignment="1">
      <x:alignment vertical="top" wrapText="1"/>
    </x:xf>
    <x:xf numFmtId="0" fontId="4" fillId="18" borderId="33" xfId="0" applyNumberFormat="1" applyFont="1" applyFill="1" applyBorder="1" applyAlignment="1">
      <x:alignment vertical="top" wrapText="1"/>
    </x:xf>
    <x:xf numFmtId="0" fontId="4" fillId="19" borderId="36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/>
    <x:xf numFmtId="0" fontId="0" fillId="16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2ec3e94ef8493b" /><Relationship Type="http://schemas.openxmlformats.org/officeDocument/2006/relationships/theme" Target="/xl/theme/theme1.xml" Id="R26d456ad1a434ee9" /><Relationship Type="http://schemas.microsoft.com/office/2022/11/relationships/FeaturePropertyBag" Target="/xl/featurePropertyBag/featurePropertyBag.xml" Id="Rd443958f9a12420e" /><Relationship Type="http://schemas.openxmlformats.org/officeDocument/2006/relationships/sharedStrings" Target="/xl/sharedStrings.xml" Id="Rb7e009c017e94860" /><Relationship Type="http://schemas.openxmlformats.org/officeDocument/2006/relationships/worksheet" Target="/xl/worksheets/sheet1.xml" Id="R267dc424766e4dba" /><Relationship Type="http://schemas.openxmlformats.org/officeDocument/2006/relationships/worksheet" Target="/xl/worksheets/sheet2.xml" Id="R3e38dd470b4546ed" /><Relationship Type="http://schemas.openxmlformats.org/officeDocument/2006/relationships/worksheet" Target="/xl/worksheets/sheet3.xml" Id="Ra7478d373ae94658" /><Relationship Type="http://schemas.openxmlformats.org/officeDocument/2006/relationships/worksheet" Target="/xl/worksheets/sheet4.xml" Id="Re92a65ad4ca947df" /><Relationship Type="http://schemas.openxmlformats.org/officeDocument/2006/relationships/worksheet" Target="/xl/worksheets/sheet5.xml" Id="R640bab79e42444b1" /><Relationship Type="http://schemas.openxmlformats.org/officeDocument/2006/relationships/worksheet" Target="/xl/worksheets/sheet6.xml" Id="R6402b05714814370" /><Relationship Type="http://schemas.openxmlformats.org/officeDocument/2006/relationships/worksheet" Target="/xl/worksheets/sheet7.xml" Id="Rd738667e50304da2" /><Relationship Type="http://schemas.openxmlformats.org/officeDocument/2006/relationships/worksheet" Target="/xl/worksheets/sheet8.xml" Id="Rcfddc6c0404e41e3" /><Relationship Type="http://schemas.openxmlformats.org/officeDocument/2006/relationships/worksheet" Target="/xl/worksheets/sheet9.xml" Id="R5385cd98098b494c" /><Relationship Type="http://schemas.openxmlformats.org/officeDocument/2006/relationships/worksheet" Target="/xl/worksheets/sheet10.xml" Id="R9fa7463245354b06" /><Relationship Type="http://schemas.openxmlformats.org/officeDocument/2006/relationships/worksheet" Target="/xl/worksheets/sheet11.xml" Id="Rd40c607777c1467d" /><Relationship Type="http://schemas.openxmlformats.org/officeDocument/2006/relationships/worksheet" Target="/xl/worksheets/sheet12.xml" Id="R1b19dc80e1ef442d" /><Relationship Type="http://schemas.openxmlformats.org/officeDocument/2006/relationships/worksheet" Target="/xl/worksheets/sheet13.xml" Id="Rbe6e4e9f1cf94acd" /><Relationship Type="http://schemas.openxmlformats.org/officeDocument/2006/relationships/worksheet" Target="/xl/worksheets/sheet14.xml" Id="Rba77df2484cd4216" /><Relationship Type="http://schemas.openxmlformats.org/officeDocument/2006/relationships/worksheet" Target="/xl/worksheets/sheet15.xml" Id="R3932ba62a96f4f65" /><Relationship Type="http://schemas.openxmlformats.org/officeDocument/2006/relationships/worksheet" Target="/xl/worksheets/sheet16.xml" Id="R021b5c5e33ec4ca6" /><Relationship Type="http://schemas.openxmlformats.org/officeDocument/2006/relationships/worksheet" Target="/xl/worksheets/sheet17.xml" Id="R4e98f3c7d13f499b" /><Relationship Type="http://schemas.openxmlformats.org/officeDocument/2006/relationships/worksheet" Target="/xl/worksheets/sheet18.xml" Id="Rbffed13c36ed449e" /><Relationship Type="http://schemas.openxmlformats.org/officeDocument/2006/relationships/worksheet" Target="/xl/worksheets/sheet19.xml" Id="Rf9d037d7eb4043c3" /><Relationship Type="http://schemas.openxmlformats.org/officeDocument/2006/relationships/worksheet" Target="/xl/worksheets/sheet20.xml" Id="R77f2a0748fd94f24" /><Relationship Type="http://schemas.openxmlformats.org/officeDocument/2006/relationships/worksheet" Target="/xl/worksheets/sheet21.xml" Id="Rc73d05e4926f47ac" /><Relationship Type="http://schemas.openxmlformats.org/officeDocument/2006/relationships/worksheet" Target="/xl/worksheets/sheet22.xml" Id="Raecb361046ad4f82" /><Relationship Type="http://schemas.openxmlformats.org/officeDocument/2006/relationships/worksheet" Target="/xl/worksheets/sheet23.xml" Id="R57626b3d366740c2" /><Relationship Type="http://schemas.openxmlformats.org/officeDocument/2006/relationships/worksheet" Target="/xl/worksheets/sheet24.xml" Id="R38293e761e644d25" /><Relationship Type="http://schemas.openxmlformats.org/officeDocument/2006/relationships/worksheet" Target="/xl/worksheets/sheet25.xml" Id="R1acaa5e2cc3f4c63" /><Relationship Type="http://schemas.openxmlformats.org/officeDocument/2006/relationships/worksheet" Target="/xl/worksheets/sheet26.xml" Id="R9b19cd5534774c34" /><Relationship Type="http://schemas.openxmlformats.org/officeDocument/2006/relationships/worksheet" Target="/xl/worksheets/sheet27.xml" Id="Re69569a30d884ba3" /><Relationship Type="http://schemas.openxmlformats.org/officeDocument/2006/relationships/worksheet" Target="/xl/worksheets/sheet28.xml" Id="Rfd73b6859ade4c14" /><Relationship Type="http://schemas.openxmlformats.org/officeDocument/2006/relationships/worksheet" Target="/xl/worksheets/sheet29.xml" Id="R73a5363f84e44017" /><Relationship Type="http://schemas.openxmlformats.org/officeDocument/2006/relationships/worksheet" Target="/xl/worksheets/sheet30.xml" Id="R88e22b8da493439c" /><Relationship Type="http://schemas.openxmlformats.org/officeDocument/2006/relationships/worksheet" Target="/xl/worksheets/sheet31.xml" Id="R186d7639cc05442f" /><Relationship Type="http://schemas.openxmlformats.org/officeDocument/2006/relationships/worksheet" Target="/xl/worksheets/sheet32.xml" Id="R11dc7809c3054af8" /><Relationship Type="http://schemas.openxmlformats.org/officeDocument/2006/relationships/worksheet" Target="/xl/worksheets/sheet33.xml" Id="R627c3e5a31634823" /><Relationship Type="http://schemas.openxmlformats.org/officeDocument/2006/relationships/worksheet" Target="/xl/worksheets/sheet34.xml" Id="Ra495668d44984d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48" hidden="0" customWidth="1"/>
    <x:col min="4" max="4" width="18" hidden="0" customWidth="1"/>
    <x:col min="5" max="5" width="36" hidden="0" customWidth="1"/>
    <x:col min="6" max="6" width="68" hidden="0" customWidth="1"/>
    <x:col min="7" max="7" width="14" hidden="0" customWidth="1"/>
    <x:col min="8" max="8" width="16" hidden="0" customWidth="1"/>
    <x:col min="9" max="9" width="100" hidden="0" customWidth="1"/>
  </x:cols>
  <x:sheetData>
    <x:row r="1" ht="28" customHeight="1">
      <x:c r="A1" s="178" t="str">
        <x:v>90_Evidence｜アタッチ枠TW 根拠管理</x:v>
      </x:c>
      <x:c r="B1" s="178"/>
      <x:c r="C1" s="178"/>
      <x:c r="D1" s="178"/>
      <x:c r="E1" s="178"/>
      <x:c r="F1" s="178"/>
      <x:c r="G1" s="178"/>
      <x:c r="H1" s="178"/>
      <x:c r="I1" s="178"/>
    </x:row>
    <x:row r="2" ht="40" customHeight="1">
      <x:c r="A2" s="179" t="str">
        <x:v>リプラス公式資料とTW正本を分離して記録。TW本体仕様はTW正本、アタッチ枠固有差分はリプラス資料を根拠とする。</x:v>
      </x:c>
      <x:c r="B2" s="179"/>
      <x:c r="C2" s="179"/>
      <x:c r="D2" s="179"/>
      <x:c r="E2" s="179"/>
      <x:c r="F2" s="179"/>
      <x:c r="G2" s="179"/>
      <x:c r="H2" s="179"/>
      <x:c r="I2" s="179"/>
    </x:row>
    <x:row r="4" ht="30" customHeight="1">
      <x:c r="A4" s="181" t="str">
        <x:v>evidence_id</x:v>
      </x:c>
      <x:c r="B4" s="182" t="str">
        <x:v>情報源種別</x:v>
      </x:c>
      <x:c r="C4" s="182" t="str">
        <x:v>資料名</x:v>
      </x:c>
      <x:c r="D4" s="182" t="str">
        <x:v>発行年月</x:v>
      </x:c>
      <x:c r="E4" s="182" t="str">
        <x:v>ページ/箇所</x:v>
      </x:c>
      <x:c r="F4" s="182" t="str">
        <x:v>URL</x:v>
      </x:c>
      <x:c r="G4" s="182" t="str">
        <x:v>確認日</x:v>
      </x:c>
      <x:c r="H4" s="182" t="str">
        <x:v>確度</x:v>
      </x:c>
      <x:c r="I4" s="183" t="str">
        <x:v>根拠内容</x:v>
      </x:c>
    </x:row>
    <x:row r="5">
      <x:c r="A5" s="184" t="str">
        <x:v>ATT-TW-EV-001</x:v>
      </x:c>
      <x:c r="B5" s="185" t="str">
        <x:v>共通仕様</x:v>
      </x:c>
      <x:c r="C5" s="185" t="str">
        <x:v>サッシ商品マスター共通仕様書_v0.1</x:v>
      </x:c>
      <x:c r="D5" s="185" t="str">
        <x:v>2026-08-30更新</x:v>
      </x:c>
      <x:c r="E5" s="185" t="str">
        <x:v>§5,9,23-34</x:v>
      </x:c>
      <x:c r="F5" s="185" t="str">
        <x:v>https://docs.google.com/document/d/1MfixkbV1cZ__DtBknEKsix_nnrXQqjc-LZtXUHwJv_A/edit</x:v>
      </x:c>
      <x:c r="G5" s="185" t="str">
        <x:v>2026-08-31</x:v>
      </x:c>
      <x:c r="H5" s="185" t="str">
        <x:v>HIGH</x:v>
      </x:c>
      <x:c r="I5" s="186" t="str">
        <x:v>防火別体系、Evidence、UI非表示、耐風圧特殊案件、OP依存</x:v>
      </x:c>
    </x:row>
    <x:row r="6">
      <x:c r="A6" s="184" t="str">
        <x:v>ATT-TW-EV-002</x:v>
      </x:c>
      <x:c r="B6" s="185" t="str">
        <x:v>商品カタログ</x:v>
      </x:c>
      <x:c r="C6" s="185" t="str">
        <x:v>LIXIL リプラス 商品カタログ</x:v>
      </x:c>
      <x:c r="D6" s="185" t="str">
        <x:v>現行</x:v>
      </x:c>
      <x:c r="E6" s="185" t="str">
        <x:v>p.35</x:v>
      </x:c>
      <x:c r="F6" s="185" t="str">
        <x:v>https://drive.google.com/file/d/1wH1nhmsftl6y8Mp7y6twtoXSi6rxqxzT/view</x:v>
      </x:c>
      <x:c r="G6" s="185" t="str">
        <x:v>2026-08-31</x:v>
      </x:c>
      <x:c r="H6" s="185" t="str">
        <x:v>HIGH</x:v>
      </x:c>
      <x:c r="I6" s="186" t="str">
        <x:v>アタッチ枠TW商品構造、対応シリーズ、釘打ちフィンカット、色、浴室不可</x:v>
      </x:c>
    </x:row>
    <x:row r="7">
      <x:c r="A7" s="184" t="str">
        <x:v>ATT-TW-EV-003</x:v>
      </x:c>
      <x:c r="B7" s="185" t="str">
        <x:v>TW正本</x:v>
      </x:c>
      <x:c r="C7" s="185" t="str">
        <x:v>サッシ商品マスター_v0.1</x:v>
      </x:c>
      <x:c r="D7" s="185" t="str">
        <x:v>現行</x:v>
      </x:c>
      <x:c r="E7" s="185" t="str">
        <x:v>02_シリーズ / 03A_シリーズ窓種設定</x:v>
      </x:c>
      <x:c r="F7" s="185" t="str">
        <x:v>https://docs.google.com/spreadsheets/d/1ordbcPQS7XhptLMjRON2oxmdsPhs-aY-Wm7quPHvM9U/edit</x:v>
      </x:c>
      <x:c r="G7" s="185" t="str">
        <x:v>2026-08-31</x:v>
      </x:c>
      <x:c r="H7" s="185" t="str">
        <x:v>HIGH</x:v>
      </x:c>
      <x:c r="I7" s="186" t="str">
        <x:v>SER-LIX-TW、正式SWT ID。TW本体Single Source of Truth</x:v>
      </x:c>
    </x:row>
    <x:row r="8">
      <x:c r="A8" s="184" t="str">
        <x:v>ATT-TW-EV-004</x:v>
      </x:c>
      <x:c r="B8" s="185" t="str">
        <x:v>商品カタログ</x:v>
      </x:c>
      <x:c r="C8" s="185" t="str">
        <x:v>LIXIL リプラス 商品カタログ</x:v>
      </x:c>
      <x:c r="D8" s="185" t="str">
        <x:v>現行</x:v>
      </x:c>
      <x:c r="E8" s="185" t="str">
        <x:v>p.203</x:v>
      </x:c>
      <x:c r="F8" s="185" t="str">
        <x:v>https://drive.google.com/file/d/1wH1nhmsftl6y8Mp7y6twtoXSi6rxqxzT/view</x:v>
      </x:c>
      <x:c r="G8" s="185" t="str">
        <x:v>2026-08-31</x:v>
      </x:c>
      <x:c r="H8" s="185" t="str">
        <x:v>HIGH</x:v>
      </x:c>
      <x:c r="I8" s="186" t="str">
        <x:v>アタッチ枠TW新設サッシ/TW別手配の対応品種可否、連結ねじ注記</x:v>
      </x:c>
    </x:row>
    <x:row r="9">
      <x:c r="A9" s="184" t="str">
        <x:v>ATT-TW-EV-005</x:v>
      </x:c>
      <x:c r="B9" s="185" t="str">
        <x:v>TW正本</x:v>
      </x:c>
      <x:c r="C9" s="185" t="str">
        <x:v>サッシ商品マスター_v0.1</x:v>
      </x:c>
      <x:c r="D9" s="185" t="str">
        <x:v>現行</x:v>
      </x:c>
      <x:c r="E9" s="185" t="str">
        <x:v>03A_シリーズ窓種設定</x:v>
      </x:c>
      <x:c r="F9" s="185" t="str">
        <x:v>https://docs.google.com/spreadsheets/d/1ordbcPQS7XhptLMjRON2oxmdsPhs-aY-Wm7quPHvM9U/edit</x:v>
      </x:c>
      <x:c r="G9" s="185" t="str">
        <x:v>2026-08-31</x:v>
      </x:c>
      <x:c r="H9" s="185" t="str">
        <x:v>HIGH</x:v>
      </x:c>
      <x:c r="I9" s="186" t="str">
        <x:v>グレモンT/TF/TFT、OP、横、High、上げ下げ、FIX分割IDの正本確認</x:v>
      </x:c>
    </x:row>
    <x:row r="10">
      <x:c r="A10" s="184" t="str">
        <x:v>ATT-TW-EV-006</x:v>
      </x:c>
      <x:c r="B10" s="185" t="str">
        <x:v>商品カタログ</x:v>
      </x:c>
      <x:c r="C10" s="185" t="str">
        <x:v>LIXIL リプラス 商品カタログ</x:v>
      </x:c>
      <x:c r="D10" s="185" t="str">
        <x:v>現行</x:v>
      </x:c>
      <x:c r="E10" s="185" t="str">
        <x:v>p.188 基本寸法/納まり参考図</x:v>
      </x:c>
      <x:c r="F10" s="185" t="str">
        <x:v>https://drive.google.com/file/d/1wH1nhmsftl6y8Mp7y6twtoXSi6rxqxzT/view</x:v>
      </x:c>
      <x:c r="G10" s="185" t="str">
        <x:v>2026-08-31</x:v>
      </x:c>
      <x:c r="H10" s="185" t="str">
        <x:v>HIGH</x:v>
      </x:c>
      <x:c r="I10" s="186" t="str">
        <x:v>WD=WS-10、HD=HS-10、TW_W=WS-38、TW_H=HS-50</x:v>
      </x:c>
    </x:row>
    <x:row r="11">
      <x:c r="A11" s="184" t="str">
        <x:v>ATT-TW-EV-007</x:v>
      </x:c>
      <x:c r="B11" s="185" t="str">
        <x:v>商品カタログ</x:v>
      </x:c>
      <x:c r="C11" s="185" t="str">
        <x:v>LIXIL リプラス 商品カタログ</x:v>
      </x:c>
      <x:c r="D11" s="185" t="str">
        <x:v>現行</x:v>
      </x:c>
      <x:c r="E11" s="185" t="str">
        <x:v>p.196,200</x:v>
      </x:c>
      <x:c r="F11" s="185" t="str">
        <x:v>https://drive.google.com/file/d/1wH1nhmsftl6y8Mp7y6twtoXSi6rxqxzT/view</x:v>
      </x:c>
      <x:c r="G11" s="185" t="str">
        <x:v>2026-08-31</x:v>
      </x:c>
      <x:c r="H11" s="185" t="str">
        <x:v>HIGH</x:v>
      </x:c>
      <x:c r="I11" s="186" t="str">
        <x:v>構造/防火/既設材質、既設窓対応表、雨戸/シャッターのアタッチ枠不可</x:v>
      </x:c>
    </x:row>
    <x:row r="12">
      <x:c r="A12" s="184" t="str">
        <x:v>ATT-TW-EV-008</x:v>
      </x:c>
      <x:c r="B12" s="185" t="str">
        <x:v>商品カタログ</x:v>
      </x:c>
      <x:c r="C12" s="185" t="str">
        <x:v>LIXIL リプラス 商品カタログ</x:v>
      </x:c>
      <x:c r="D12" s="185" t="str">
        <x:v>現行</x:v>
      </x:c>
      <x:c r="E12" s="185" t="str">
        <x:v>p.201</x:v>
      </x:c>
      <x:c r="F12" s="185" t="str">
        <x:v>https://drive.google.com/file/d/1wH1nhmsftl6y8Mp7y6twtoXSi6rxqxzT/view</x:v>
      </x:c>
      <x:c r="G12" s="185" t="str">
        <x:v>2026-08-31</x:v>
      </x:c>
      <x:c r="H12" s="185" t="str">
        <x:v>HIGH</x:v>
      </x:c>
      <x:c r="I12" s="186" t="str">
        <x:v>アタッチ枠TW 既設枠見込み100mm以下</x:v>
      </x:c>
    </x:row>
    <x:row r="13">
      <x:c r="A13" s="184" t="str">
        <x:v>ATT-TW-EV-009</x:v>
      </x:c>
      <x:c r="B13" s="185" t="str">
        <x:v>商品カタログ</x:v>
      </x:c>
      <x:c r="C13" s="185" t="str">
        <x:v>LIXIL リプラス 商品カタログ</x:v>
      </x:c>
      <x:c r="D13" s="185" t="str">
        <x:v>現行</x:v>
      </x:c>
      <x:c r="E13" s="185" t="str">
        <x:v>p.208-210</x:v>
      </x:c>
      <x:c r="F13" s="185" t="str">
        <x:v>https://drive.google.com/file/d/1wH1nhmsftl6y8Mp7y6twtoXSi6rxqxzT/view</x:v>
      </x:c>
      <x:c r="G13" s="185" t="str">
        <x:v>2026-08-31</x:v>
      </x:c>
      <x:c r="H13" s="185" t="str">
        <x:v>HIGH</x:v>
      </x:c>
      <x:c r="I13" s="186" t="str">
        <x:v>3点採寸、変形/たおれ、既設枠測定、二重サッシ採寸</x:v>
      </x:c>
    </x:row>
    <x:row r="14">
      <x:c r="A14" s="184" t="str">
        <x:v>ATT-TW-EV-010</x:v>
      </x:c>
      <x:c r="B14" s="185" t="str">
        <x:v>商品カタログ</x:v>
      </x:c>
      <x:c r="C14" s="185" t="str">
        <x:v>LIXIL リプラス 商品カタログ</x:v>
      </x:c>
      <x:c r="D14" s="185" t="str">
        <x:v>現行</x:v>
      </x:c>
      <x:c r="E14" s="185" t="str">
        <x:v>p.209</x:v>
      </x:c>
      <x:c r="F14" s="185" t="str">
        <x:v>https://drive.google.com/file/d/1wH1nhmsftl6y8Mp7y6twtoXSi6rxqxzT/view</x:v>
      </x:c>
      <x:c r="G14" s="185" t="str">
        <x:v>2026-08-31</x:v>
      </x:c>
      <x:c r="H14" s="185" t="str">
        <x:v>HIGH</x:v>
      </x:c>
      <x:c r="I14" s="186" t="str">
        <x:v>下枠補強金具29～48mmとスペーサー補正</x:v>
      </x:c>
    </x:row>
    <x:row r="15">
      <x:c r="A15" s="184" t="str">
        <x:v>ATT-TW-EV-011</x:v>
      </x:c>
      <x:c r="B15" s="185" t="str">
        <x:v>商品カタログ</x:v>
      </x:c>
      <x:c r="C15" s="185" t="str">
        <x:v>LIXIL リプラス 商品カタログ</x:v>
      </x:c>
      <x:c r="D15" s="185" t="str">
        <x:v>現行</x:v>
      </x:c>
      <x:c r="E15" s="185" t="str">
        <x:v>p.211</x:v>
      </x:c>
      <x:c r="F15" s="185" t="str">
        <x:v>https://drive.google.com/file/d/1wH1nhmsftl6y8Mp7y6twtoXSi6rxqxzT/view</x:v>
      </x:c>
      <x:c r="G15" s="185" t="str">
        <x:v>2026-08-31</x:v>
      </x:c>
      <x:c r="H15" s="185" t="str">
        <x:v>HIGH</x:v>
      </x:c>
      <x:c r="I15" s="186" t="str">
        <x:v>アタッチ枠TW 化粧カバー見付 大/中/小：上71.5/36.5/16.5、下91/56/36、縦34/34/9</x:v>
      </x:c>
    </x:row>
    <x:row r="16">
      <x:c r="A16" s="184" t="str">
        <x:v>ATT-TW-EV-012</x:v>
      </x:c>
      <x:c r="B16" s="185" t="str">
        <x:v>商品カタログ</x:v>
      </x:c>
      <x:c r="C16" s="185" t="str">
        <x:v>LIXIL リプラス 商品カタログ</x:v>
      </x:c>
      <x:c r="D16" s="185" t="str">
        <x:v>現行</x:v>
      </x:c>
      <x:c r="E16" s="185" t="str">
        <x:v>p.262</x:v>
      </x:c>
      <x:c r="F16" s="185" t="str">
        <x:v>https://drive.google.com/file/d/1wH1nhmsftl6y8Mp7y6twtoXSi6rxqxzT/view</x:v>
      </x:c>
      <x:c r="G16" s="185" t="str">
        <x:v>2026-08-31</x:v>
      </x:c>
      <x:c r="H16" s="185" t="str">
        <x:v>HIGH</x:v>
      </x:c>
      <x:c r="I16" s="186" t="str">
        <x:v>アタッチ枠装飾窓：標準 / 既設単体 内嵌め用の部材詳細</x:v>
      </x:c>
    </x:row>
    <x:row r="17">
      <x:c r="A17" s="184" t="str">
        <x:v>ATT-TW-EV-013</x:v>
      </x:c>
      <x:c r="B17" s="185" t="str">
        <x:v>商品カタログ</x:v>
      </x:c>
      <x:c r="C17" s="185" t="str">
        <x:v>LIXIL リプラス 商品カタログ</x:v>
      </x:c>
      <x:c r="D17" s="185" t="str">
        <x:v>現行</x:v>
      </x:c>
      <x:c r="E17" s="185" t="str">
        <x:v>p.72 有償品対応一覧</x:v>
      </x:c>
      <x:c r="F17" s="185" t="str">
        <x:v>https://drive.google.com/file/d/1wH1nhmsftl6y8Mp7y6twtoXSi6rxqxzT/view</x:v>
      </x:c>
      <x:c r="G17" s="185" t="str">
        <x:v>2026-08-31</x:v>
      </x:c>
      <x:c r="H17" s="185" t="str">
        <x:v>HIGH</x:v>
      </x:c>
      <x:c r="I17" s="186" t="str">
        <x:v>小開口アーム、固定/可動網戸溝カバー、後付ビード、連窓方立、段窓無目の設定</x:v>
      </x:c>
    </x:row>
    <x:row r="18">
      <x:c r="A18" s="184" t="str">
        <x:v>ATT-TW-EV-014</x:v>
      </x:c>
      <x:c r="B18" s="185" t="str">
        <x:v>商品カタログ</x:v>
      </x:c>
      <x:c r="C18" s="185" t="str">
        <x:v>LIXIL リプラス 商品カタログ</x:v>
      </x:c>
      <x:c r="D18" s="185" t="str">
        <x:v>現行</x:v>
      </x:c>
      <x:c r="E18" s="185" t="str">
        <x:v>p.73,188,263</x:v>
      </x:c>
      <x:c r="F18" s="185" t="str">
        <x:v>https://drive.google.com/file/d/1wH1nhmsftl6y8Mp7y6twtoXSi6rxqxzT/view</x:v>
      </x:c>
      <x:c r="G18" s="185" t="str">
        <x:v>2026-08-31</x:v>
      </x:c>
      <x:c r="H18" s="185" t="str">
        <x:v>HIGH</x:v>
      </x:c>
      <x:c r="I18" s="186" t="str">
        <x:v>気密テープ、調整スペーサー、アングルカバー、見切材、連結ねじ等施工部材</x:v>
      </x:c>
    </x:row>
    <x:row r="19">
      <x:c r="A19" s="187" t="str">
        <x:v>ATT-TW-EV-015</x:v>
      </x:c>
      <x:c r="B19" s="188" t="str">
        <x:v>公式資料横断</x:v>
      </x:c>
      <x:c r="C19" s="188" t="str">
        <x:v>リプラス/TW公式資料</x:v>
      </x:c>
      <x:c r="D19" s="188" t="str">
        <x:v>現行</x:v>
      </x:c>
      <x:c r="E19" s="188" t="str">
        <x:v>特殊寸法・ガラス/耐風圧/連段</x:v>
      </x:c>
      <x:c r="F19" s="188" t="str">
        <x:v>https://drive.google.com/file/d/1D1HPMXhOMYd_Lu10XNzzJR2TH3aDHVUr/view</x:v>
      </x:c>
      <x:c r="G19" s="188" t="str">
        <x:v>2026-08-31</x:v>
      </x:c>
      <x:c r="H19" s="188" t="str">
        <x:v>HIGH</x:v>
      </x:c>
      <x:c r="I19" s="189" t="str">
        <x:v>通常見積外の特殊案件は公式表/見積システム最終確認</x:v>
      </x:c>
    </x:row>
    <x:row r="20">
      <x:c r="A20" s="38"/>
      <x:c r="B20" s="39"/>
      <x:c r="C20" s="39"/>
      <x:c r="D20" s="39"/>
      <x:c r="E20" s="39"/>
      <x:c r="F20" s="39"/>
      <x:c r="G20" s="39"/>
      <x:c r="H20" s="39"/>
      <x:c r="I20" s="40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94" hidden="0" customWidth="1"/>
    <x:col min="4" max="4" width="30" hidden="0" customWidth="1"/>
  </x:cols>
  <x:sheetData>
    <x:row r="1" ht="28" customHeight="1">
      <x:c r="A1" s="178" t="str">
        <x:v>LIXIL リプラス アタッチ枠（TW用）｜商品マスター v1.0 完成版 INDEX</x:v>
      </x:c>
      <x:c r="B1" s="178"/>
      <x:c r="C1" s="178"/>
      <x:c r="D1" s="178"/>
    </x:row>
    <x:row r="2" ht="40" customHeight="1">
      <x:c r="A2" s="179" t="str">
        <x:v>TW本体仕様を複製しない参照型マスター。アタッチ枠固有の施工・寸法変換・既設条件・部材差分だけを保持。</x:v>
      </x:c>
      <x:c r="B2" s="179"/>
      <x:c r="C2" s="179"/>
      <x:c r="D2" s="179"/>
    </x:row>
    <x:row r="4" ht="30" customHeight="1">
      <x:c r="A4" s="181" t="str">
        <x:v>項目</x:v>
      </x:c>
      <x:c r="B4" s="182" t="str">
        <x:v>状態</x:v>
      </x:c>
      <x:c r="C4" s="182" t="str">
        <x:v>内容</x:v>
      </x:c>
      <x:c r="D4" s="183" t="str">
        <x:v>Evidence</x:v>
      </x:c>
    </x:row>
    <x:row r="5">
      <x:c r="A5" s="184" t="str">
        <x:v>対象</x:v>
      </x:c>
      <x:c r="B5" s="185" t="str">
        <x:v>LIXIL リプラス</x:v>
      </x:c>
      <x:c r="C5" s="185" t="str">
        <x:v>アタッチ枠（TW用） / RPL_ATT_TW</x:v>
      </x:c>
      <x:c r="D5" s="186" t="str">
        <x:v>v1.0 完成版</x:v>
      </x:c>
    </x:row>
    <x:row r="6">
      <x:c r="A6" s="184" t="str">
        <x:v>TW正本参照</x:v>
      </x:c>
      <x:c r="B6" s="185" t="str">
        <x:v>COMPLETE</x:v>
      </x:c>
      <x:c r="C6" s="185" t="str">
        <x:v>サッシ商品マスター_v0.1 / SER-LIX-TW をSingle Source of Truthとして参照</x:v>
      </x:c>
      <x:c r="D6" s="186" t="str">
        <x:v>ATT-TW-EV-003</x:v>
      </x:c>
    </x:row>
    <x:row r="7">
      <x:c r="A7" s="184" t="str">
        <x:v>商品構造</x:v>
      </x:c>
      <x:c r="B7" s="185" t="str">
        <x:v>COMPLETE</x:v>
      </x:c>
      <x:c r="C7" s="185" t="str">
        <x:v>専用アタッチ枠新設サッシ + 別途手配TW（釘打ちフィンカット）の2経路</x:v>
      </x:c>
      <x:c r="D7" s="186" t="str">
        <x:v>ATT-TW-EV-002,004</x:v>
      </x:c>
    </x:row>
    <x:row r="8">
      <x:c r="A8" s="184" t="str">
        <x:v>対応窓種</x:v>
      </x:c>
      <x:c r="B8" s="185" t="str">
        <x:v>COMPLETE</x:v>
      </x:c>
      <x:c r="C8" s="185" t="str">
        <x:v>公式対応可否表をTW正本のSWT IDへマッピング</x:v>
      </x:c>
      <x:c r="D8" s="186" t="str">
        <x:v>ATT-TW-EV-004,005</x:v>
      </x:c>
    </x:row>
    <x:row r="9">
      <x:c r="A9" s="184" t="str">
        <x:v>寸法変換</x:v>
      </x:c>
      <x:c r="B9" s="185" t="str">
        <x:v>COMPLETE</x:v>
      </x:c>
      <x:c r="C9" s="185" t="str">
        <x:v>WD=WS-10 / HD=HS-10 / TW_W=WS-38 / TW_H=HS-50</x:v>
      </x:c>
      <x:c r="D9" s="186" t="str">
        <x:v>ATT-TW-EV-006</x:v>
      </x:c>
    </x:row>
    <x:row r="10">
      <x:c r="A10" s="184" t="str">
        <x:v>TWサイズ判定</x:v>
      </x:c>
      <x:c r="B10" s="185" t="str">
        <x:v>COMPLETE</x:v>
      </x:c>
      <x:c r="C10" s="185" t="str">
        <x:v>TW正本サイズルールとの交差判定。TW製作範囲は本マスターへ複製しない</x:v>
      </x:c>
      <x:c r="D10" s="186" t="str">
        <x:v>ATT-TW-EV-003,006</x:v>
      </x:c>
    </x:row>
    <x:row r="11">
      <x:c r="A11" s="184" t="str">
        <x:v>アタッチ枠</x:v>
      </x:c>
      <x:c r="B11" s="185" t="str">
        <x:v>COMPLETE</x:v>
      </x:c>
      <x:c r="C11" s="185" t="str">
        <x:v>装飾窓用 標準 / 既設単体 内嵌め用を施工条件で解決</x:v>
      </x:c>
      <x:c r="D11" s="186" t="str">
        <x:v>ATT-TW-EV-012</x:v>
      </x:c>
    </x:row>
    <x:row r="12">
      <x:c r="A12" s="184" t="str">
        <x:v>既設窓適用</x:v>
      </x:c>
      <x:c r="B12" s="185" t="str">
        <x:v>COMPLETE</x:v>
      </x:c>
      <x:c r="C12" s="185" t="str">
        <x:v>樹脂・木製不可、別体連段不可、雨戸/シャッター付はアタッチ枠不可</x:v>
      </x:c>
      <x:c r="D12" s="186" t="str">
        <x:v>ATT-TW-EV-007,008</x:v>
      </x:c>
    </x:row>
    <x:row r="13">
      <x:c r="A13" s="184" t="str">
        <x:v>建物/防火</x:v>
      </x:c>
      <x:c r="B13" s="185" t="str">
        <x:v>COMPLETE</x:v>
      </x:c>
      <x:c r="C13" s="185" t="str">
        <x:v>木造・RC3階以下（RCは木下地条件）／ALC・鉄骨不可／防火仕様不可</x:v>
      </x:c>
      <x:c r="D13" s="186" t="str">
        <x:v>ATT-TW-EV-007</x:v>
      </x:c>
    </x:row>
    <x:row r="14">
      <x:c r="A14" s="184" t="str">
        <x:v>現調</x:v>
      </x:c>
      <x:c r="B14" s="185" t="str">
        <x:v>COMPLETE</x:v>
      </x:c>
      <x:c r="C14" s="185" t="str">
        <x:v>3点採寸、見込み≤100mm、下枠補強29～48mm、変形・作業条件</x:v>
      </x:c>
      <x:c r="D14" s="186" t="str">
        <x:v>ATT-TW-EV-007,009,010</x:v>
      </x:c>
    </x:row>
    <x:row r="15">
      <x:c r="A15" s="184" t="str">
        <x:v>化粧カバー</x:v>
      </x:c>
      <x:c r="B15" s="185" t="str">
        <x:v>COMPLETE</x:v>
      </x:c>
      <x:c r="C15" s="185" t="str">
        <x:v>大/中/小のアタッチ枠TW用見付範囲を数値化</x:v>
      </x:c>
      <x:c r="D15" s="186" t="str">
        <x:v>ATT-TW-EV-011</x:v>
      </x:c>
    </x:row>
    <x:row r="16">
      <x:c r="A16" s="184" t="str">
        <x:v>色</x:v>
      </x:c>
      <x:c r="B16" s="185" t="str">
        <x:v>COMPLETE</x:v>
      </x:c>
      <x:c r="C16" s="185" t="str">
        <x:v>TW本体色はTW正本参照。化粧カバー5色・樹脂アングルカバー5色のみローカル保持</x:v>
      </x:c>
      <x:c r="D16" s="186" t="str">
        <x:v>ATT-TW-EV-002</x:v>
      </x:c>
    </x:row>
    <x:row r="17">
      <x:c r="A17" s="184" t="str">
        <x:v>TWガラス/網戸/OP</x:v>
      </x:c>
      <x:c r="B17" s="185" t="str">
        <x:v>COMPLETE</x:v>
      </x:c>
      <x:c r="C17" s="185" t="str">
        <x:v>TW正本参照。アタッチ枠側は差分制限のみ</x:v>
      </x:c>
      <x:c r="D17" s="186" t="str">
        <x:v>ATT-TW-EV-003,004</x:v>
      </x:c>
    </x:row>
    <x:row r="18">
      <x:c r="A18" s="184" t="str">
        <x:v>有償品/施工部材</x:v>
      </x:c>
      <x:c r="B18" s="185" t="str">
        <x:v>COMPLETE</x:v>
      </x:c>
      <x:c r="C18" s="185" t="str">
        <x:v>小開口アーム、網戸溝カバー、後付ビード、連窓方立、段窓無目、気密/調整部材等</x:v>
      </x:c>
      <x:c r="D18" s="186" t="str">
        <x:v>ATT-TW-EV-013,014</x:v>
      </x:c>
    </x:row>
    <x:row r="19">
      <x:c r="A19" s="184" t="str">
        <x:v>特殊案件</x:v>
      </x:c>
      <x:c r="B19" s="185" t="str">
        <x:v>COMPLETE_WITH_EXTERNAL_CHECK</x:v>
      </x:c>
      <x:c r="C19" s="185" t="str">
        <x:v>TW側耐風圧・ガラス面積/重量、特殊既設枠、複合連段納まり</x:v>
      </x:c>
      <x:c r="D19" s="186" t="str">
        <x:v>ATT-TW-EV-001,003,015</x:v>
      </x:c>
    </x:row>
    <x:row r="20">
      <x:c r="A20" s="187" t="str">
        <x:v>Evidence</x:v>
      </x:c>
      <x:c r="B20" s="188" t="str">
        <x:v>COMPLETE</x:v>
      </x:c>
      <x:c r="C20" s="188" t="str">
        <x:v>ATT-TW-EV-001～015</x:v>
      </x:c>
      <x:c r="D20" s="189" t="str">
        <x:v>—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2" hidden="0" customWidth="1"/>
  </x:cols>
  <x:sheetData>
    <x:row r="1" ht="28" customHeight="1">
      <x:c r="A1" s="178" t="str">
        <x:v>00_README｜LIXIL リプラス アタッチ枠（TW用） v1.0 完成版</x:v>
      </x:c>
      <x:c r="B1" s="178"/>
    </x:row>
    <x:row r="2" ht="34" customHeight="1">
      <x:c r="A2" s="11"/>
      <x:c r="B2" s="11"/>
    </x:row>
    <x:row r="3">
      <x:c r="A3" s="181" t="str">
        <x:v>キー</x:v>
      </x:c>
      <x:c r="B3" s="183" t="str">
        <x:v>内容</x:v>
      </x:c>
    </x:row>
    <x:row r="4" ht="30" customHeight="1">
      <x:c r="A4" s="196" t="str">
        <x:v>master_id</x:v>
      </x:c>
      <x:c r="B4" s="197" t="str">
        <x:v>LIXIL_RPL_ATT_TW_V1_0</x:v>
      </x:c>
    </x:row>
    <x:row r="5">
      <x:c r="A5" s="184" t="str">
        <x:v>manufacturer</x:v>
      </x:c>
      <x:c r="B5" s="186" t="str">
        <x:v>LIXIL</x:v>
      </x:c>
    </x:row>
    <x:row r="6">
      <x:c r="A6" s="184" t="str">
        <x:v>series</x:v>
      </x:c>
      <x:c r="B6" s="186" t="str">
        <x:v>リプラス</x:v>
      </x:c>
    </x:row>
    <x:row r="7">
      <x:c r="A7" s="184" t="str">
        <x:v>installation_system</x:v>
      </x:c>
      <x:c r="B7" s="186" t="str">
        <x:v>RPL_ATT_TW</x:v>
      </x:c>
    </x:row>
    <x:row r="8">
      <x:c r="A8" s="184" t="str">
        <x:v>installation_system_name</x:v>
      </x:c>
      <x:c r="B8" s="186" t="str">
        <x:v>アタッチ枠（TW用）</x:v>
      </x:c>
    </x:row>
    <x:row r="9">
      <x:c r="A9" s="184" t="str">
        <x:v>variation</x:v>
      </x:c>
      <x:c r="B9" s="186" t="str">
        <x:v>NOT_USED / installation_system自体を主キーとする</x:v>
      </x:c>
    </x:row>
    <x:row r="10">
      <x:c r="A10" s="184" t="str">
        <x:v>referenced_product_series_id</x:v>
      </x:c>
      <x:c r="B10" s="186" t="str">
        <x:v>SER-LIX-TW</x:v>
      </x:c>
    </x:row>
    <x:row r="11">
      <x:c r="A11" s="184" t="str">
        <x:v>referenced_master_id</x:v>
      </x:c>
      <x:c r="B11" s="186" t="str">
        <x:v>1ordbcPQS7XhptLMjRON2oxmdsPhs-aY-Wm7quPHvM9U</x:v>
      </x:c>
    </x:row>
    <x:row r="12">
      <x:c r="A12" s="184" t="str">
        <x:v>referenced_master_title</x:v>
      </x:c>
      <x:c r="B12" s="186" t="str">
        <x:v>サッシ商品マスター_v0.1</x:v>
      </x:c>
    </x:row>
    <x:row r="13">
      <x:c r="A13" s="184" t="str">
        <x:v>referenced_master_role</x:v>
      </x:c>
      <x:c r="B13" s="186" t="str">
        <x:v>SINGLE_SOURCE_OF_TRUTH</x:v>
      </x:c>
    </x:row>
    <x:row r="14">
      <x:c r="A14" s="184" t="str">
        <x:v>responsibility_boundary</x:v>
      </x:c>
      <x:c r="B14" s="186" t="str">
        <x:v>TW窓種/色/ガラス/網戸/ハンドル/本体OP/本体製作範囲はTW正本。リプラス側はアタッチ枠・既設窓・寸法変換・施工・カバー・差分制限。</x:v>
      </x:c>
    </x:row>
    <x:row r="15">
      <x:c r="A15" s="184" t="str">
        <x:v>dimension_formula</x:v>
      </x:c>
      <x:c r="B15" s="186" t="str">
        <x:v>attachment_finished_W=WS-10 / H=HS-10; referenced_TW_W=WS-38 / H=HS-50</x:v>
      </x:c>
    </x:row>
    <x:row r="16">
      <x:c r="A16" s="184" t="str">
        <x:v>bathroom_use</x:v>
      </x:c>
      <x:c r="B16" s="186" t="str">
        <x:v>NOT_APPLICABLE（浴室には使用しない）</x:v>
      </x:c>
    </x:row>
    <x:row r="17">
      <x:c r="A17" s="184" t="str">
        <x:v>fire_use</x:v>
      </x:c>
      <x:c r="B17" s="186" t="str">
        <x:v>NOT_APPLICABLE（防火仕様ではない。TW防火戸は別商品体系）</x:v>
      </x:c>
    </x:row>
    <x:row r="18">
      <x:c r="A18" s="184" t="str">
        <x:v>normal_ui_policy</x:v>
      </x:c>
      <x:c r="B18" s="186" t="str">
        <x:v>公式対応表で対応するTW窓種だけ表示。TW本体仕様は参照先から動的取得。</x:v>
      </x:c>
    </x:row>
    <x:row r="19">
      <x:c r="A19" s="184" t="str">
        <x:v>completion_status</x:v>
      </x:c>
      <x:c r="B19" s="186" t="str">
        <x:v>COMPLETE</x:v>
      </x:c>
    </x:row>
    <x:row r="20">
      <x:c r="A20" s="187" t="str">
        <x:v>canonical_destination</x:v>
      </x:c>
      <x:c r="B20" s="189" t="str">
        <x:v>01_住宅サッシ / 04_商品マスター / 01_LIXIL / リプラス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32" hidden="0" customWidth="1"/>
    <x:col min="4" max="4" width="56" hidden="0" customWidth="1"/>
    <x:col min="5" max="5" width="74" hidden="0" customWidth="1"/>
  </x:cols>
  <x:sheetData>
    <x:row r="1" ht="28" customHeight="1">
      <x:c r="A1" s="178" t="str">
        <x:v>01_入力フロー｜アタッチ枠（TW用）</x:v>
      </x:c>
      <x:c r="B1" s="178"/>
      <x:c r="C1" s="178"/>
      <x:c r="D1" s="178"/>
      <x:c r="E1" s="178"/>
    </x:row>
    <x:row r="3" ht="30" customHeight="1">
      <x:c r="A3" s="181" t="str">
        <x:v>順序</x:v>
      </x:c>
      <x:c r="B3" s="182" t="str">
        <x:v>表示項目</x:v>
      </x:c>
      <x:c r="C3" s="182" t="str">
        <x:v>データキー</x:v>
      </x:c>
      <x:c r="D3" s="182" t="str">
        <x:v>候補/入力</x:v>
      </x:c>
      <x:c r="E3" s="183" t="str">
        <x:v>制御</x:v>
      </x:c>
    </x:row>
    <x:row r="4">
      <x:c r="A4" s="184" t="n">
        <x:v>1</x:v>
      </x:c>
      <x:c r="B4" s="185" t="str">
        <x:v>取替方式</x:v>
      </x:c>
      <x:c r="C4" s="185" t="str">
        <x:v>installation_system_id</x:v>
      </x:c>
      <x:c r="D4" s="185" t="str">
        <x:v>RPL_ATT_TW</x:v>
      </x:c>
      <x:c r="E4" s="186" t="str">
        <x:v>固定</x:v>
      </x:c>
    </x:row>
    <x:row r="5">
      <x:c r="A5" s="184" t="n">
        <x:v>2</x:v>
      </x:c>
      <x:c r="B5" s="185" t="str">
        <x:v>既設窓条件</x:v>
      </x:c>
      <x:c r="C5" s="185" t="str">
        <x:v>existing_window_compatibility</x:v>
      </x:c>
      <x:c r="D5" s="185" t="str">
        <x:v>既設窓種・材質・構造</x:v>
      </x:c>
      <x:c r="E5" s="186" t="str">
        <x:v>現調レイヤーで先行判定</x:v>
      </x:c>
    </x:row>
    <x:row r="6">
      <x:c r="A6" s="184" t="n">
        <x:v>3</x:v>
      </x:c>
      <x:c r="B6" s="185" t="str">
        <x:v>新設サッシ手配方式</x:v>
      </x:c>
      <x:c r="C6" s="185" t="str">
        <x:v>new_sash_supply_mode</x:v>
      </x:c>
      <x:c r="D6" s="185" t="str">
        <x:v>ATTACH_DEDICATED / TW_SEPARATE</x:v>
      </x:c>
      <x:c r="E6" s="186" t="str">
        <x:v>対応窓種により候補表示</x:v>
      </x:c>
    </x:row>
    <x:row r="7">
      <x:c r="A7" s="184" t="n">
        <x:v>4</x:v>
      </x:c>
      <x:c r="B7" s="185" t="str">
        <x:v>TW窓種</x:v>
      </x:c>
      <x:c r="C7" s="185" t="str">
        <x:v>referenced_window_id</x:v>
      </x:c>
      <x:c r="D7" s="185" t="str">
        <x:v>TW正本SWT ID</x:v>
      </x:c>
      <x:c r="E7" s="186" t="str">
        <x:v>03C対応表で絞込</x:v>
      </x:c>
    </x:row>
    <x:row r="8">
      <x:c r="A8" s="184" t="n">
        <x:v>5</x:v>
      </x:c>
      <x:c r="B8" s="185" t="str">
        <x:v>施工方法</x:v>
      </x:c>
      <x:c r="C8" s="185" t="str">
        <x:v>installation_method</x:v>
      </x:c>
      <x:c r="D8" s="185" t="str">
        <x:v>STANDARD / INNER_FIT_EXISTING_SINGLE</x:v>
      </x:c>
      <x:c r="E8" s="186" t="str">
        <x:v>既設状態から決定</x:v>
      </x:c>
    </x:row>
    <x:row r="9">
      <x:c r="A9" s="184" t="n">
        <x:v>6</x:v>
      </x:c>
      <x:c r="B9" s="185" t="str">
        <x:v>採寸W/H</x:v>
      </x:c>
      <x:c r="C9" s="185" t="str">
        <x:v>survey_w / survey_h</x:v>
      </x:c>
      <x:c r="D9" s="185" t="str">
        <x:v>3点採寸の最小値</x:v>
      </x:c>
      <x:c r="E9" s="186" t="str">
        <x:v>現調入力</x:v>
      </x:c>
    </x:row>
    <x:row r="10">
      <x:c r="A10" s="184" t="n">
        <x:v>7</x:v>
      </x:c>
      <x:c r="B10" s="185" t="str">
        <x:v>アタッチ枠出来寸</x:v>
      </x:c>
      <x:c r="C10" s="185" t="str">
        <x:v>attachment_finished_w/h</x:v>
      </x:c>
      <x:c r="D10" s="185" t="str">
        <x:v>自動</x:v>
      </x:c>
      <x:c r="E10" s="186" t="str">
        <x:v>WS/HS-10</x:v>
      </x:c>
    </x:row>
    <x:row r="11">
      <x:c r="A11" s="184" t="n">
        <x:v>8</x:v>
      </x:c>
      <x:c r="B11" s="185" t="str">
        <x:v>TW製作寸法</x:v>
      </x:c>
      <x:c r="C11" s="185" t="str">
        <x:v>referenced_product_w/h</x:v>
      </x:c>
      <x:c r="D11" s="185" t="str">
        <x:v>自動</x:v>
      </x:c>
      <x:c r="E11" s="186" t="str">
        <x:v>W=WS-38 / H=HS-50</x:v>
      </x:c>
    </x:row>
    <x:row r="12">
      <x:c r="A12" s="184" t="n">
        <x:v>9</x:v>
      </x:c>
      <x:c r="B12" s="185" t="str">
        <x:v>TW製作可否</x:v>
      </x:c>
      <x:c r="C12" s="185" t="str">
        <x:v>referenced_size_validation</x:v>
      </x:c>
      <x:c r="D12" s="185" t="str">
        <x:v>TW正本へ照会</x:v>
      </x:c>
      <x:c r="E12" s="186" t="str">
        <x:v>TW正本のサイズルールを実行</x:v>
      </x:c>
    </x:row>
    <x:row r="13">
      <x:c r="A13" s="184" t="n">
        <x:v>10</x:v>
      </x:c>
      <x:c r="B13" s="185" t="str">
        <x:v>アタッチ枠現調条件</x:v>
      </x:c>
      <x:c r="C13" s="185" t="str">
        <x:v>attachment_validation</x:v>
      </x:c>
      <x:c r="D13" s="185" t="str">
        <x:v>見込み/下枠/変形等</x:v>
      </x:c>
      <x:c r="E13" s="186" t="str">
        <x:v>ローカルルールを実行</x:v>
      </x:c>
    </x:row>
    <x:row r="14">
      <x:c r="A14" s="184" t="n">
        <x:v>11</x:v>
      </x:c>
      <x:c r="B14" s="185" t="str">
        <x:v>TW本体仕様</x:v>
      </x:c>
      <x:c r="C14" s="185" t="str">
        <x:v>referenced_product_options</x:v>
      </x:c>
      <x:c r="D14" s="185" t="str">
        <x:v>色・網戸・ガラス・本体OP</x:v>
      </x:c>
      <x:c r="E14" s="186" t="str">
        <x:v>TW正本から取得</x:v>
      </x:c>
    </x:row>
    <x:row r="15">
      <x:c r="A15" s="184" t="n">
        <x:v>12</x:v>
      </x:c>
      <x:c r="B15" s="185" t="str">
        <x:v>化粧カバー</x:v>
      </x:c>
      <x:c r="C15" s="185" t="str">
        <x:v>exterior_cover_type/color</x:v>
      </x:c>
      <x:c r="D15" s="185" t="str">
        <x:v>大/中/小＋5色</x:v>
      </x:c>
      <x:c r="E15" s="186" t="str">
        <x:v>既設見付で絞込</x:v>
      </x:c>
    </x:row>
    <x:row r="16">
      <x:c r="A16" s="184" t="n">
        <x:v>13</x:v>
      </x:c>
      <x:c r="B16" s="185" t="str">
        <x:v>室内部材</x:v>
      </x:c>
      <x:c r="C16" s="185" t="str">
        <x:v>interior_cover</x:v>
      </x:c>
      <x:c r="D16" s="185" t="str">
        <x:v>アングルカバー/見切材</x:v>
      </x:c>
      <x:c r="E16" s="186" t="str">
        <x:v>アタッチ枠部材</x:v>
      </x:c>
    </x:row>
    <x:row r="17">
      <x:c r="A17" s="184" t="n">
        <x:v>14</x:v>
      </x:c>
      <x:c r="B17" s="185" t="str">
        <x:v>リプラス側OP</x:v>
      </x:c>
      <x:c r="C17" s="185" t="str">
        <x:v>attachment_option</x:v>
      </x:c>
      <x:c r="D17" s="185" t="str">
        <x:v>施工部材等</x:v>
      </x:c>
      <x:c r="E17" s="186" t="str">
        <x:v>09A依存を適用</x:v>
      </x:c>
    </x:row>
    <x:row r="18">
      <x:c r="A18" s="187" t="n">
        <x:v>15</x:v>
      </x:c>
      <x:c r="B18" s="188" t="str">
        <x:v>最終判定</x:v>
      </x:c>
      <x:c r="C18" s="188" t="str">
        <x:v>final_eligibility</x:v>
      </x:c>
      <x:c r="D18" s="188" t="str">
        <x:v>AUTO / EXTERNAL_CHECK</x:v>
      </x:c>
      <x:c r="E18" s="189" t="str">
        <x:v>TW判定 AND アタッチ判定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0" hidden="0" customWidth="1"/>
    <x:col min="4" max="4" width="28" hidden="0" customWidth="1"/>
    <x:col min="5" max="5" width="18" hidden="0" customWidth="1"/>
    <x:col min="6" max="6" width="22" hidden="0" customWidth="1"/>
    <x:col min="7" max="7" width="24" hidden="0" customWidth="1"/>
    <x:col min="8" max="8" width="14" hidden="0" customWidth="1"/>
  </x:cols>
  <x:sheetData>
    <x:row r="1" ht="28" customHeight="1">
      <x:c r="A1" s="178" t="str">
        <x:v>02_取替方式｜アタッチ枠（TW用）</x:v>
      </x:c>
      <x:c r="B1" s="178"/>
      <x:c r="C1" s="178"/>
      <x:c r="D1" s="178"/>
      <x:c r="E1" s="178"/>
      <x:c r="F1" s="178"/>
      <x:c r="G1" s="178"/>
      <x:c r="H1" s="4"/>
    </x:row>
    <x:row r="3" ht="30" customHeight="1">
      <x:c r="A3" s="181" t="str">
        <x:v>installation_system_id</x:v>
      </x:c>
      <x:c r="B3" s="182" t="str">
        <x:v>公式名称</x:v>
      </x:c>
      <x:c r="C3" s="182" t="str">
        <x:v>データ型</x:v>
      </x:c>
      <x:c r="D3" s="182" t="str">
        <x:v>referenced_product</x:v>
      </x:c>
      <x:c r="E3" s="182" t="str">
        <x:v>今回範囲</x:v>
      </x:c>
      <x:c r="F3" s="182" t="str">
        <x:v>status</x:v>
      </x:c>
      <x:c r="G3" s="183" t="str">
        <x:v>evidence</x:v>
      </x:c>
      <x:c r="H3" s="34"/>
    </x:row>
    <x:row r="4">
      <x:c r="A4" s="184" t="str">
        <x:v>RPL_ATT_TW</x:v>
      </x:c>
      <x:c r="B4" s="185" t="str">
        <x:v>アタッチ枠（TW用）</x:v>
      </x:c>
      <x:c r="C4" s="185" t="str">
        <x:v>リフォーム部材＋TW参照</x:v>
      </x:c>
      <x:c r="D4" s="185" t="str">
        <x:v>SER-LIX-TW</x:v>
      </x:c>
      <x:c r="E4" s="185" t="str">
        <x:v>対象</x:v>
      </x:c>
      <x:c r="F4" s="185" t="str">
        <x:v>COMPLETE</x:v>
      </x:c>
      <x:c r="G4" s="186" t="str">
        <x:v>ATT-TW-EV-002,004</x:v>
      </x:c>
      <x:c r="H4" s="37"/>
    </x:row>
    <x:row r="5">
      <x:c r="A5" s="184" t="str">
        <x:v>RPL_DIRECT</x:v>
      </x:c>
      <x:c r="B5" s="185" t="str">
        <x:v>リプラス専用取替枠</x:v>
      </x:c>
      <x:c r="C5" s="185" t="str">
        <x:v>完成品/専用枠</x:v>
      </x:c>
      <x:c r="D5" s="185" t="str">
        <x:v>—</x:v>
      </x:c>
      <x:c r="E5" s="185" t="str">
        <x:v>対象外</x:v>
      </x:c>
      <x:c r="F5" s="185" t="str">
        <x:v>NOT_APPLICABLE</x:v>
      </x:c>
      <x:c r="G5" s="186" t="str">
        <x:v>ATT-TW-EV-002</x:v>
      </x:c>
      <x:c r="H5" s="37"/>
    </x:row>
    <x:row r="6">
      <x:c r="A6" s="187" t="str">
        <x:v>RPL_ATT_TH</x:v>
      </x:c>
      <x:c r="B6" s="188" t="str">
        <x:v>アタッチ枠（サーモス用）</x:v>
      </x:c>
      <x:c r="C6" s="188" t="str">
        <x:v>リフォーム部材＋サーモス参照</x:v>
      </x:c>
      <x:c r="D6" s="188" t="str">
        <x:v>—</x:v>
      </x:c>
      <x:c r="E6" s="188" t="str">
        <x:v>次工程</x:v>
      </x:c>
      <x:c r="F6" s="188" t="str">
        <x:v>NOT_APPLICABLE</x:v>
      </x:c>
      <x:c r="G6" s="189" t="str">
        <x:v>ATT-TW-EV-002</x:v>
      </x:c>
      <x:c r="H6" s="37"/>
    </x:row>
    <x:row r="7">
      <x:c r="A7" s="38"/>
      <x:c r="B7" s="39"/>
      <x:c r="C7" s="39"/>
      <x:c r="D7" s="39"/>
      <x:c r="E7" s="39"/>
      <x:c r="F7" s="39"/>
      <x:c r="G7" s="39"/>
      <x:c r="H7" s="40"/>
    </x:row>
  </x:sheetData>
  <x:mergeCells>
    <x:mergeCell ref="A1:H1"/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2" hidden="0" customWidth="1"/>
    <x:col min="4" max="4" width="46" hidden="0" customWidth="1"/>
    <x:col min="5" max="5" width="18" hidden="0" customWidth="1"/>
    <x:col min="6" max="6" width="18" hidden="0" customWidth="1"/>
    <x:col min="7" max="7" width="22" hidden="0" customWidth="1"/>
  </x:cols>
  <x:sheetData>
    <x:row r="1" ht="28" customHeight="1">
      <x:c r="A1" s="178" t="str">
        <x:v>02A_仕様区分｜アタッチ枠（TW用）</x:v>
      </x:c>
      <x:c r="B1" s="178"/>
      <x:c r="C1" s="178"/>
      <x:c r="D1" s="178"/>
      <x:c r="E1" s="178"/>
      <x:c r="F1" s="178"/>
      <x:c r="G1" s="178"/>
    </x:row>
    <x:row r="3" ht="30" customHeight="1">
      <x:c r="A3" s="181" t="str">
        <x:v>config_id</x:v>
      </x:c>
      <x:c r="B3" s="182" t="str">
        <x:v>installation_system_id</x:v>
      </x:c>
      <x:c r="C3" s="182" t="str">
        <x:v>名称</x:v>
      </x:c>
      <x:c r="D3" s="182" t="str">
        <x:v>役割</x:v>
      </x:c>
      <x:c r="E3" s="182" t="str">
        <x:v>ui_mode</x:v>
      </x:c>
      <x:c r="F3" s="182" t="str">
        <x:v>status</x:v>
      </x:c>
      <x:c r="G3" s="183" t="str">
        <x:v>evidence</x:v>
      </x:c>
    </x:row>
    <x:row r="4">
      <x:c r="A4" s="187" t="str">
        <x:v>ATT_TW</x:v>
      </x:c>
      <x:c r="B4" s="188" t="str">
        <x:v>RPL_ATT_TW</x:v>
      </x:c>
      <x:c r="C4" s="188" t="str">
        <x:v>アタッチ枠（TW用）</x:v>
      </x:c>
      <x:c r="D4" s="188" t="str">
        <x:v>主商品構成</x:v>
      </x:c>
      <x:c r="E4" s="188" t="str">
        <x:v>FIXED</x:v>
      </x:c>
      <x:c r="F4" s="188" t="str">
        <x:v>COMPLETE</x:v>
      </x:c>
      <x:c r="G4" s="189" t="str">
        <x:v>ATT-TW-EV-002,004</x:v>
      </x:c>
    </x:row>
    <x:row r="5">
      <x:c r="A5" s="35"/>
      <x:c r="B5" s="36"/>
      <x:c r="C5" s="36"/>
      <x:c r="D5" s="36"/>
      <x:c r="E5" s="36"/>
      <x:c r="F5" s="36"/>
      <x:c r="G5" s="37"/>
    </x:row>
    <x:row r="6">
      <x:c r="A6" s="35"/>
      <x:c r="B6" s="36"/>
      <x:c r="C6" s="36"/>
      <x:c r="D6" s="36"/>
      <x:c r="E6" s="36"/>
      <x:c r="F6" s="36"/>
      <x:c r="G6" s="37"/>
    </x:row>
    <x:row r="7">
      <x:c r="A7" s="38"/>
      <x:c r="B7" s="39"/>
      <x:c r="C7" s="39"/>
      <x:c r="D7" s="39"/>
      <x:c r="E7" s="39"/>
      <x:c r="F7" s="39"/>
      <x:c r="G7" s="40"/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4" hidden="0" customWidth="1"/>
    <x:col min="3" max="3" width="34" hidden="0" customWidth="1"/>
    <x:col min="4" max="4" width="18" hidden="0" customWidth="1"/>
    <x:col min="5" max="5" width="18" hidden="0" customWidth="1"/>
    <x:col min="6" max="6" width="24" hidden="0" customWidth="1"/>
    <x:col min="7" max="7" width="16" hidden="0" customWidth="1"/>
  </x:cols>
  <x:sheetData>
    <x:row r="1" ht="28" customHeight="1">
      <x:c r="A1" s="178" t="str">
        <x:v>03_窓種｜アタッチ枠TW 参照ファミリー</x:v>
      </x:c>
      <x:c r="B1" s="178"/>
      <x:c r="C1" s="178"/>
      <x:c r="D1" s="178"/>
      <x:c r="E1" s="178"/>
      <x:c r="F1" s="178"/>
      <x:c r="G1" s="4"/>
    </x:row>
    <x:row r="2" ht="34" customHeight="1">
      <x:c r="A2" s="11"/>
      <x:c r="B2" s="11"/>
      <x:c r="C2" s="11"/>
      <x:c r="D2" s="11"/>
      <x:c r="E2" s="11"/>
      <x:c r="F2" s="11"/>
      <x:c r="G2" s="11"/>
    </x:row>
    <x:row r="3">
      <x:c r="A3" s="181" t="str">
        <x:v>attachment_window_family_id</x:v>
      </x:c>
      <x:c r="B3" s="182" t="str">
        <x:v>表示名</x:v>
      </x:c>
      <x:c r="C3" s="182" t="str">
        <x:v>TW参照方式</x:v>
      </x:c>
      <x:c r="D3" s="182" t="str">
        <x:v>source_sheet</x:v>
      </x:c>
      <x:c r="E3" s="182" t="str">
        <x:v>status</x:v>
      </x:c>
      <x:c r="F3" s="183" t="str">
        <x:v>evidence</x:v>
      </x:c>
    </x:row>
    <x:row r="4" ht="30" customHeight="1">
      <x:c r="A4" s="196" t="str">
        <x:v>ATT-TW-TATE-GREMON</x:v>
      </x:c>
      <x:c r="B4" s="205" t="str">
        <x:v>縦すべり出し窓（グレモン）</x:v>
      </x:c>
      <x:c r="C4" s="205" t="str">
        <x:v>TW正式分割ID参照</x:v>
      </x:c>
      <x:c r="D4" s="205" t="str">
        <x:v>03C</x:v>
      </x:c>
      <x:c r="E4" s="205" t="str">
        <x:v>COMPLETE</x:v>
      </x:c>
      <x:c r="F4" s="197" t="str">
        <x:v>ATT-TW-EV-003,004</x:v>
      </x:c>
      <x:c r="G4" s="34"/>
    </x:row>
    <x:row r="5">
      <x:c r="A5" s="184" t="str">
        <x:v>ATT-TW-TATE-OP</x:v>
      </x:c>
      <x:c r="B5" s="185" t="str">
        <x:v>縦すべり出し窓（オペレーター）</x:v>
      </x:c>
      <x:c r="C5" s="185" t="str">
        <x:v>TW別手配ID参照</x:v>
      </x:c>
      <x:c r="D5" s="185" t="str">
        <x:v>03C</x:v>
      </x:c>
      <x:c r="E5" s="185" t="str">
        <x:v>COMPLETE</x:v>
      </x:c>
      <x:c r="F5" s="186" t="str">
        <x:v>ATT-TW-EV-003,004</x:v>
      </x:c>
      <x:c r="G5" s="37"/>
    </x:row>
    <x:row r="6">
      <x:c r="A6" s="184" t="str">
        <x:v>ATT-TW-YOKO-GREMON</x:v>
      </x:c>
      <x:c r="B6" s="185" t="str">
        <x:v>横すべり出し窓（グレモン）</x:v>
      </x:c>
      <x:c r="C6" s="185" t="str">
        <x:v>TW ID参照</x:v>
      </x:c>
      <x:c r="D6" s="185" t="str">
        <x:v>03C</x:v>
      </x:c>
      <x:c r="E6" s="185" t="str">
        <x:v>COMPLETE</x:v>
      </x:c>
      <x:c r="F6" s="186" t="str">
        <x:v>ATT-TW-EV-003,004</x:v>
      </x:c>
      <x:c r="G6" s="37"/>
    </x:row>
    <x:row r="7">
      <x:c r="A7" s="184" t="str">
        <x:v>ATT-TW-YOKO-OP</x:v>
      </x:c>
      <x:c r="B7" s="185" t="str">
        <x:v>横すべり出し窓（オペレーター）</x:v>
      </x:c>
      <x:c r="C7" s="185" t="str">
        <x:v>TW別手配ID参照</x:v>
      </x:c>
      <x:c r="D7" s="185" t="str">
        <x:v>03C</x:v>
      </x:c>
      <x:c r="E7" s="185" t="str">
        <x:v>COMPLETE</x:v>
      </x:c>
      <x:c r="F7" s="186" t="str">
        <x:v>ATT-TW-EV-003,004</x:v>
      </x:c>
      <x:c r="G7" s="37"/>
    </x:row>
    <x:row r="8">
      <x:c r="A8" s="184" t="str">
        <x:v>ATT-TW-HIGH-YOKO</x:v>
      </x:c>
      <x:c r="B8" s="185" t="str">
        <x:v>高所用横すべり出し窓</x:v>
      </x:c>
      <x:c r="C8" s="185" t="str">
        <x:v>TW ID参照</x:v>
      </x:c>
      <x:c r="D8" s="185" t="str">
        <x:v>03C</x:v>
      </x:c>
      <x:c r="E8" s="185" t="str">
        <x:v>COMPLETE</x:v>
      </x:c>
      <x:c r="F8" s="186" t="str">
        <x:v>ATT-TW-EV-003,004</x:v>
      </x:c>
      <x:c r="G8" s="37"/>
    </x:row>
    <x:row r="9">
      <x:c r="A9" s="184" t="str">
        <x:v>ATT-TW-AGE</x:v>
      </x:c>
      <x:c r="B9" s="185" t="str">
        <x:v>上げ下げ窓</x:v>
      </x:c>
      <x:c r="C9" s="185" t="str">
        <x:v>TW ID参照</x:v>
      </x:c>
      <x:c r="D9" s="185" t="str">
        <x:v>03C</x:v>
      </x:c>
      <x:c r="E9" s="185" t="str">
        <x:v>COMPLETE</x:v>
      </x:c>
      <x:c r="F9" s="186" t="str">
        <x:v>ATT-TW-EV-003,004</x:v>
      </x:c>
      <x:c r="G9" s="37"/>
    </x:row>
    <x:row r="10">
      <x:c r="A10" s="184" t="str">
        <x:v>ATT-TW-GRILLE-AGE</x:v>
      </x:c>
      <x:c r="B10" s="185" t="str">
        <x:v>面格子付上げ下げ窓</x:v>
      </x:c>
      <x:c r="C10" s="185" t="str">
        <x:v>TW別手配ID参照</x:v>
      </x:c>
      <x:c r="D10" s="185" t="str">
        <x:v>03C</x:v>
      </x:c>
      <x:c r="E10" s="185" t="str">
        <x:v>COMPLETE</x:v>
      </x:c>
      <x:c r="F10" s="186" t="str">
        <x:v>ATT-TW-EV-003,004</x:v>
      </x:c>
      <x:c r="G10" s="37"/>
    </x:row>
    <x:row r="11">
      <x:c r="A11" s="187" t="str">
        <x:v>ATT-TW-FIX-IN</x:v>
      </x:c>
      <x:c r="B11" s="188" t="str">
        <x:v>FIX窓（内押縁タイプ）</x:v>
      </x:c>
      <x:c r="C11" s="188" t="str">
        <x:v>TW正式分割ID参照</x:v>
      </x:c>
      <x:c r="D11" s="188" t="str">
        <x:v>03C</x:v>
      </x:c>
      <x:c r="E11" s="188" t="str">
        <x:v>COMPLETE</x:v>
      </x:c>
      <x:c r="F11" s="189" t="str">
        <x:v>ATT-TW-EV-003,004</x:v>
      </x:c>
      <x:c r="G11" s="37"/>
    </x:row>
    <x:row r="12">
      <x:c r="A12" s="38"/>
      <x:c r="B12" s="39"/>
      <x:c r="C12" s="39"/>
      <x:c r="D12" s="39"/>
      <x:c r="E12" s="39"/>
      <x:c r="F12" s="39"/>
      <x:c r="G12" s="40"/>
    </x:row>
  </x:sheetData>
  <x:mergeCells>
    <x:mergeCell ref="A1:G1"/>
    <x:mergeCell ref="A2:G2"/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</x:cols>
  <x:sheetData>
    <x:row r="1" ht="28" customHeight="1">
      <x:c r="A1" s="178" t="str">
        <x:v>03A_枠仕様｜アタッチ枠TW</x:v>
      </x:c>
      <x:c r="B1" s="178"/>
      <x:c r="C1" s="178"/>
      <x:c r="D1" s="178"/>
      <x:c r="E1" s="178"/>
      <x:c r="F1" s="178"/>
      <x:c r="G1" s="178"/>
    </x:row>
    <x:row r="3" ht="30" customHeight="1">
      <x:c r="A3" s="181" t="str">
        <x:v>attachment_frame_type_id</x:v>
      </x:c>
      <x:c r="B3" s="182" t="str">
        <x:v>公式区分</x:v>
      </x:c>
      <x:c r="C3" s="182" t="str">
        <x:v>適用</x:v>
      </x:c>
      <x:c r="D3" s="182" t="str">
        <x:v>selection_mode</x:v>
      </x:c>
      <x:c r="E3" s="182" t="str">
        <x:v>user_selectable</x:v>
      </x:c>
      <x:c r="F3" s="182" t="str">
        <x:v>status</x:v>
      </x:c>
      <x:c r="G3" s="183" t="str">
        <x:v>evidence</x:v>
      </x:c>
    </x:row>
    <x:row r="4">
      <x:c r="A4" s="184" t="str">
        <x:v>ATT-TW-FRAME-STD</x:v>
      </x:c>
      <x:c r="B4" s="185" t="str">
        <x:v>装飾窓 標準</x:v>
      </x:c>
      <x:c r="C4" s="185" t="str">
        <x:v>標準施工</x:v>
      </x:c>
      <x:c r="D4" s="185" t="str">
        <x:v>AUTO</x:v>
      </x:c>
      <x:c r="E4" s="185" t="str">
        <x:v>False</x:v>
      </x:c>
      <x:c r="F4" s="185" t="str">
        <x:v>COMPLETE</x:v>
      </x:c>
      <x:c r="G4" s="186" t="str">
        <x:v>ATT-TW-EV-012</x:v>
      </x:c>
    </x:row>
    <x:row r="5">
      <x:c r="A5" s="187" t="str">
        <x:v>ATT-TW-FRAME-INNER-SINGLE</x:v>
      </x:c>
      <x:c r="B5" s="188" t="str">
        <x:v>既設単体 内嵌め用</x:v>
      </x:c>
      <x:c r="C5" s="188" t="str">
        <x:v>既設単体の内嵌め施工</x:v>
      </x:c>
      <x:c r="D5" s="188" t="str">
        <x:v>AUTO</x:v>
      </x:c>
      <x:c r="E5" s="188" t="str">
        <x:v>False</x:v>
      </x:c>
      <x:c r="F5" s="188" t="str">
        <x:v>COMPLETE</x:v>
      </x:c>
      <x:c r="G5" s="189" t="str">
        <x:v>ATT-TW-EV-012</x:v>
      </x:c>
    </x:row>
  </x:sheetData>
  <x:mergeCells>
    <x:mergeCell ref="A1:F1"/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34" hidden="0" customWidth="1"/>
    <x:col min="5" max="5" width="24" hidden="0" customWidth="1"/>
    <x:col min="6" max="6" width="18" hidden="0" customWidth="1"/>
    <x:col min="7" max="7" width="24" hidden="0" customWidth="1"/>
  </x:cols>
  <x:sheetData>
    <x:row r="1" ht="28" customHeight="1">
      <x:c r="A1" s="178" t="str">
        <x:v>03B_窓種枠設定｜アタッチ枠TW</x:v>
      </x:c>
      <x:c r="B1" s="178"/>
      <x:c r="C1" s="178"/>
      <x:c r="D1" s="178"/>
      <x:c r="E1" s="178"/>
      <x:c r="F1" s="178"/>
      <x:c r="G1" s="178"/>
    </x:row>
    <x:row r="2" ht="34" customHeight="1">
      <x:c r="A2" s="11"/>
      <x:c r="B2" s="11"/>
      <x:c r="C2" s="11"/>
      <x:c r="D2" s="11"/>
      <x:c r="E2" s="11"/>
      <x:c r="F2" s="11"/>
    </x:row>
    <x:row r="3">
      <x:c r="A3" s="181" t="str">
        <x:v>rule_id</x:v>
      </x:c>
      <x:c r="B3" s="182" t="str">
        <x:v>window_scope</x:v>
      </x:c>
      <x:c r="C3" s="182" t="str">
        <x:v>installation_method</x:v>
      </x:c>
      <x:c r="D3" s="182" t="str">
        <x:v>attachment_frame_type_id</x:v>
      </x:c>
      <x:c r="E3" s="182" t="str">
        <x:v>result</x:v>
      </x:c>
      <x:c r="F3" s="182" t="str">
        <x:v>status</x:v>
      </x:c>
      <x:c r="G3" s="183" t="str">
        <x:v>evidence</x:v>
      </x:c>
    </x:row>
    <x:row r="4" ht="30" customHeight="1">
      <x:c r="A4" s="196" t="str">
        <x:v>ATT-TW-FM-STD</x:v>
      </x:c>
      <x:c r="B4" s="205" t="str">
        <x:v>SUPPORTED_TW_WINDOWS</x:v>
      </x:c>
      <x:c r="C4" s="205" t="str">
        <x:v>STANDARD</x:v>
      </x:c>
      <x:c r="D4" s="205" t="str">
        <x:v>ATT-TW-FRAME-STD</x:v>
      </x:c>
      <x:c r="E4" s="205" t="str">
        <x:v>AUTO_RESOLVED</x:v>
      </x:c>
      <x:c r="F4" s="205" t="str">
        <x:v>COMPLETE</x:v>
      </x:c>
      <x:c r="G4" s="186" t="str">
        <x:v>ATT-TW-EV-012</x:v>
      </x:c>
    </x:row>
    <x:row r="5">
      <x:c r="A5" s="187" t="str">
        <x:v>ATT-TW-FM-IN</x:v>
      </x:c>
      <x:c r="B5" s="188" t="str">
        <x:v>SUPPORTED_TW_WINDOWS</x:v>
      </x:c>
      <x:c r="C5" s="188" t="str">
        <x:v>INNER_FIT_EXISTING_SINGLE</x:v>
      </x:c>
      <x:c r="D5" s="188" t="str">
        <x:v>ATT-TW-FRAME-INNER-SINGLE</x:v>
      </x:c>
      <x:c r="E5" s="188" t="str">
        <x:v>AUTO_RESOLVED</x:v>
      </x:c>
      <x:c r="F5" s="188" t="str">
        <x:v>COMPLETE</x:v>
      </x:c>
      <x:c r="G5" s="189" t="str">
        <x:v>ATT-TW-EV-012</x:v>
      </x:c>
    </x:row>
    <x:row r="6">
      <x:c r="A6" s="35"/>
      <x:c r="B6" s="36"/>
      <x:c r="C6" s="36"/>
      <x:c r="D6" s="36"/>
      <x:c r="E6" s="36"/>
      <x:c r="F6" s="37"/>
    </x:row>
    <x:row r="7">
      <x:c r="A7" s="35"/>
      <x:c r="B7" s="36"/>
      <x:c r="C7" s="36"/>
      <x:c r="D7" s="36"/>
      <x:c r="E7" s="36"/>
      <x:c r="F7" s="37"/>
    </x:row>
    <x:row r="8">
      <x:c r="A8" s="35"/>
      <x:c r="B8" s="36"/>
      <x:c r="C8" s="36"/>
      <x:c r="D8" s="36"/>
      <x:c r="E8" s="36"/>
      <x:c r="F8" s="37"/>
    </x:row>
    <x:row r="9">
      <x:c r="A9" s="35"/>
      <x:c r="B9" s="36"/>
      <x:c r="C9" s="36"/>
      <x:c r="D9" s="36"/>
      <x:c r="E9" s="36"/>
      <x:c r="F9" s="37"/>
    </x:row>
    <x:row r="10">
      <x:c r="A10" s="35"/>
      <x:c r="B10" s="36"/>
      <x:c r="C10" s="36"/>
      <x:c r="D10" s="36"/>
      <x:c r="E10" s="36"/>
      <x:c r="F10" s="37"/>
    </x:row>
    <x:row r="11">
      <x:c r="A11" s="35"/>
      <x:c r="B11" s="36"/>
      <x:c r="C11" s="36"/>
      <x:c r="D11" s="36"/>
      <x:c r="E11" s="36"/>
      <x:c r="F11" s="37"/>
    </x:row>
    <x:row r="12">
      <x:c r="A12" s="35"/>
      <x:c r="B12" s="36"/>
      <x:c r="C12" s="36"/>
      <x:c r="D12" s="36"/>
      <x:c r="E12" s="36"/>
      <x:c r="F12" s="37"/>
    </x:row>
    <x:row r="13">
      <x:c r="A13" s="38"/>
      <x:c r="B13" s="39"/>
      <x:c r="C13" s="39"/>
      <x:c r="D13" s="39"/>
      <x:c r="E13" s="39"/>
      <x:c r="F13" s="40"/>
    </x:row>
  </x:sheetData>
  <x:mergeCells>
    <x:mergeCell ref="A1:F1"/>
    <x:mergeCell ref="A2:F2"/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8" hidden="0" customWidth="1"/>
    <x:col min="4" max="4" width="36" hidden="0" customWidth="1"/>
    <x:col min="5" max="5" width="24" hidden="0" customWidth="1"/>
    <x:col min="6" max="6" width="48" hidden="0" customWidth="1"/>
    <x:col min="7" max="7" width="18" hidden="0" customWidth="1"/>
    <x:col min="8" max="8" width="24" hidden="0" customWidth="1"/>
  </x:cols>
  <x:sheetData>
    <x:row r="1" ht="28" customHeight="1">
      <x:c r="A1" s="178" t="str">
        <x:v>04_窓種固有仕様｜アタッチ枠TW 差分のみ</x:v>
      </x:c>
      <x:c r="B1" s="178"/>
      <x:c r="C1" s="178"/>
      <x:c r="D1" s="178"/>
      <x:c r="E1" s="178"/>
      <x:c r="F1" s="178"/>
      <x:c r="G1" s="178"/>
      <x:c r="H1" s="178"/>
    </x:row>
    <x:row r="3" ht="30" customHeight="1">
      <x:c r="A3" s="181" t="str">
        <x:v>spec_id</x:v>
      </x:c>
      <x:c r="B3" s="182" t="str">
        <x:v>scope</x:v>
      </x:c>
      <x:c r="C3" s="182" t="str">
        <x:v>spec_type</x:v>
      </x:c>
      <x:c r="D3" s="182" t="str">
        <x:v>value</x:v>
      </x:c>
      <x:c r="E3" s="182" t="str">
        <x:v>selection_mode</x:v>
      </x:c>
      <x:c r="F3" s="182" t="str">
        <x:v>condition</x:v>
      </x:c>
      <x:c r="G3" s="182" t="str">
        <x:v>status</x:v>
      </x:c>
      <x:c r="H3" s="183" t="str">
        <x:v>evidence</x:v>
      </x:c>
    </x:row>
    <x:row r="4">
      <x:c r="A4" s="184" t="str">
        <x:v>ATT-TW-SP-001</x:v>
      </x:c>
      <x:c r="B4" s="185" t="str">
        <x:v>TATE_GREMON_TF/TFT</x:v>
      </x:c>
      <x:c r="C4" s="185" t="str">
        <x:v>FIX押縁</x:v>
      </x:c>
      <x:c r="D4" s="185" t="str">
        <x:v>内押縁のみ</x:v>
      </x:c>
      <x:c r="E4" s="185" t="str">
        <x:v>AUTO</x:v>
      </x:c>
      <x:c r="F4" s="185" t="str">
        <x:v>ATTACH_DEDICATED</x:v>
      </x:c>
      <x:c r="G4" s="185" t="str">
        <x:v>COMPLETE</x:v>
      </x:c>
      <x:c r="H4" s="186" t="str">
        <x:v>ATT-TW-EV-004</x:v>
      </x:c>
    </x:row>
    <x:row r="5">
      <x:c r="A5" s="184" t="str">
        <x:v>ATT-TW-SP-002</x:v>
      </x:c>
      <x:c r="B5" s="185" t="str">
        <x:v>TW_SEPARATE</x:v>
      </x:c>
      <x:c r="C5" s="185" t="str">
        <x:v>釘打ちフィン</x:v>
      </x:c>
      <x:c r="D5" s="185" t="str">
        <x:v>現場/加工でカット</x:v>
      </x:c>
      <x:c r="E5" s="185" t="str">
        <x:v>SYSTEM_REQUIRED</x:v>
      </x:c>
      <x:c r="F5" s="185" t="str">
        <x:v>supply_mode=TW_SEPARATE</x:v>
      </x:c>
      <x:c r="G5" s="185" t="str">
        <x:v>COMPLETE</x:v>
      </x:c>
      <x:c r="H5" s="186" t="str">
        <x:v>ATT-TW-EV-002,004</x:v>
      </x:c>
    </x:row>
    <x:row r="6">
      <x:c r="A6" s="187" t="str">
        <x:v>ATT-TW-SP-003</x:v>
      </x:c>
      <x:c r="B6" s="188" t="str">
        <x:v>TW_SEPARATE</x:v>
      </x:c>
      <x:c r="C6" s="188" t="str">
        <x:v>アタッチ枠連結ねじ</x:v>
      </x:c>
      <x:c r="D6" s="188" t="str">
        <x:v>別途手配必須</x:v>
      </x:c>
      <x:c r="E6" s="188" t="str">
        <x:v>SYSTEM_REQUIRED</x:v>
      </x:c>
      <x:c r="F6" s="188" t="str">
        <x:v>supply_mode=TW_SEPARATE</x:v>
      </x:c>
      <x:c r="G6" s="188" t="str">
        <x:v>COMPLETE</x:v>
      </x:c>
      <x:c r="H6" s="189" t="str">
        <x:v>ATT-TW-EV-004</x:v>
      </x:c>
    </x:row>
    <x:row r="7">
      <x:c r="A7" s="35"/>
      <x:c r="B7" s="36"/>
      <x:c r="C7" s="36"/>
      <x:c r="D7" s="36"/>
      <x:c r="E7" s="36"/>
      <x:c r="F7" s="36"/>
      <x:c r="G7" s="36"/>
      <x:c r="H7" s="37"/>
    </x:row>
    <x:row r="8">
      <x:c r="A8" s="35"/>
      <x:c r="B8" s="36"/>
      <x:c r="C8" s="36"/>
      <x:c r="D8" s="36"/>
      <x:c r="E8" s="36"/>
      <x:c r="F8" s="36"/>
      <x:c r="G8" s="36"/>
      <x:c r="H8" s="37"/>
    </x:row>
    <x:row r="9">
      <x:c r="A9" s="35"/>
      <x:c r="B9" s="36"/>
      <x:c r="C9" s="36"/>
      <x:c r="D9" s="36"/>
      <x:c r="E9" s="36"/>
      <x:c r="F9" s="36"/>
      <x:c r="G9" s="36"/>
      <x:c r="H9" s="37"/>
    </x:row>
    <x:row r="10">
      <x:c r="A10" s="35"/>
      <x:c r="B10" s="36"/>
      <x:c r="C10" s="36"/>
      <x:c r="D10" s="36"/>
      <x:c r="E10" s="36"/>
      <x:c r="F10" s="36"/>
      <x:c r="G10" s="36"/>
      <x:c r="H10" s="37"/>
    </x:row>
    <x:row r="11">
      <x:c r="A11" s="35"/>
      <x:c r="B11" s="36"/>
      <x:c r="C11" s="36"/>
      <x:c r="D11" s="36"/>
      <x:c r="E11" s="36"/>
      <x:c r="F11" s="36"/>
      <x:c r="G11" s="36"/>
      <x:c r="H11" s="37"/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38"/>
      <x:c r="B13" s="39"/>
      <x:c r="C13" s="39"/>
      <x:c r="D13" s="39"/>
      <x:c r="E13" s="39"/>
      <x:c r="F13" s="39"/>
      <x:c r="G13" s="39"/>
      <x:c r="H13" s="40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58" hidden="0" customWidth="1"/>
    <x:col min="4" max="4" width="58" hidden="0" customWidth="1"/>
    <x:col min="5" max="5" width="42" hidden="0" customWidth="1"/>
    <x:col min="6" max="6" width="30" hidden="0" customWidth="1"/>
    <x:col min="7" max="7" width="2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20" hidden="0" customWidth="1"/>
    <x:col min="16" max="16" width="54" hidden="0" customWidth="1"/>
    <x:col min="17" max="17" width="14" hidden="0" customWidth="1"/>
    <x:col min="18" max="18" width="14" hidden="0" customWidth="1"/>
  </x:cols>
  <x:sheetData>
    <x:row r="1" ht="28" customHeight="1">
      <x:c r="A1" s="178" t="str">
        <x:v>05_サイズルール｜アタッチ枠TW 交差判定</x:v>
      </x:c>
      <x:c r="B1" s="178"/>
      <x:c r="C1" s="178"/>
      <x:c r="D1" s="178"/>
      <x:c r="E1" s="178"/>
      <x:c r="F1" s="178"/>
      <x:c r="G1" s="178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40" customHeight="1">
      <x:c r="A2" s="179" t="str">
        <x:v>TW本体の製作範囲は複製しない。変換後TW_W/TW_Hを参照先TWマスターへ渡し、両方の条件成立時のみ通常候補として確定。</x:v>
      </x:c>
      <x:c r="B2" s="179"/>
      <x:c r="C2" s="179"/>
      <x:c r="D2" s="179"/>
      <x:c r="E2" s="179"/>
      <x:c r="F2" s="179"/>
      <x:c r="G2" s="179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4" ht="30" customHeight="1">
      <x:c r="A4" s="181" t="str">
        <x:v>size_rule_id</x:v>
      </x:c>
      <x:c r="B4" s="182" t="str">
        <x:v>scope</x:v>
      </x:c>
      <x:c r="C4" s="182" t="str">
        <x:v>local_rule</x:v>
      </x:c>
      <x:c r="D4" s="182" t="str">
        <x:v>referenced_rule</x:v>
      </x:c>
      <x:c r="E4" s="182" t="str">
        <x:v>final_expression</x:v>
      </x:c>
      <x:c r="F4" s="182" t="str">
        <x:v>status</x:v>
      </x:c>
      <x:c r="G4" s="183" t="str">
        <x:v>evidence</x:v>
      </x:c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4"/>
    </x:row>
    <x:row r="5">
      <x:c r="A5" s="184" t="str">
        <x:v>ATT-TW-SZ-001</x:v>
      </x:c>
      <x:c r="B5" s="185" t="str">
        <x:v>SUPPORTED_TW_WINDOWS</x:v>
      </x:c>
      <x:c r="C5" s="185" t="str">
        <x:v>05C寸法変換が成立</x:v>
      </x:c>
      <x:c r="D5" s="185" t="str">
        <x:v>TW正本の該当referenced_window_idサイズ判定</x:v>
      </x:c>
      <x:c r="E5" s="185" t="str">
        <x:v>LOCAL_VALID AND TW_MASTER_VALID</x:v>
      </x:c>
      <x:c r="F5" s="185" t="str">
        <x:v>COMPLETE</x:v>
      </x:c>
      <x:c r="G5" s="206" t="str">
        <x:v>ATT-TW-EV-003,006</x:v>
      </x:c>
      <x:c r="H5" s="62"/>
      <x:c r="I5" s="62"/>
      <x:c r="J5" s="62"/>
      <x:c r="K5" s="62"/>
      <x:c r="L5" s="62"/>
      <x:c r="M5" s="62"/>
      <x:c r="N5" s="62"/>
      <x:c r="O5" s="36"/>
      <x:c r="P5" s="36"/>
      <x:c r="Q5" s="36"/>
      <x:c r="R5" s="37"/>
    </x:row>
    <x:row r="6">
      <x:c r="A6" s="184" t="str">
        <x:v>ATT-TW-SZ-002</x:v>
      </x:c>
      <x:c r="B6" s="185" t="str">
        <x:v>lower_frame_rise</x:v>
      </x:c>
      <x:c r="C6" s="185" t="str">
        <x:v>29&lt;=rise&lt;=48mm を標準対応</x:v>
      </x:c>
      <x:c r="D6" s="185" t="str">
        <x:v>—</x:v>
      </x:c>
      <x:c r="E6" s="185" t="str">
        <x:v>SURVEY_RULE</x:v>
      </x:c>
      <x:c r="F6" s="185" t="str">
        <x:v>COMPLETE</x:v>
      </x:c>
      <x:c r="G6" s="206" t="str">
        <x:v>ATT-TW-EV-010</x:v>
      </x:c>
      <x:c r="H6" s="62"/>
      <x:c r="I6" s="62"/>
      <x:c r="J6" s="62"/>
      <x:c r="K6" s="62"/>
      <x:c r="L6" s="62"/>
      <x:c r="M6" s="62"/>
      <x:c r="N6" s="62"/>
      <x:c r="O6" s="36"/>
      <x:c r="P6" s="36"/>
      <x:c r="Q6" s="36"/>
      <x:c r="R6" s="37"/>
    </x:row>
    <x:row r="7">
      <x:c r="A7" s="184" t="str">
        <x:v>ATT-TW-SZ-003</x:v>
      </x:c>
      <x:c r="B7" s="185" t="str">
        <x:v>existing_frame_depth</x:v>
      </x:c>
      <x:c r="C7" s="185" t="str">
        <x:v>depth&lt;=100mm</x:v>
      </x:c>
      <x:c r="D7" s="185" t="str">
        <x:v>—</x:v>
      </x:c>
      <x:c r="E7" s="185" t="str">
        <x:v>SURVEY_RULE</x:v>
      </x:c>
      <x:c r="F7" s="185" t="str">
        <x:v>COMPLETE</x:v>
      </x:c>
      <x:c r="G7" s="206" t="str">
        <x:v>ATT-TW-EV-008</x:v>
      </x:c>
      <x:c r="H7" s="62"/>
      <x:c r="I7" s="62"/>
      <x:c r="J7" s="62"/>
      <x:c r="K7" s="62"/>
      <x:c r="L7" s="62"/>
      <x:c r="M7" s="62"/>
      <x:c r="N7" s="62"/>
      <x:c r="O7" s="36"/>
      <x:c r="P7" s="36"/>
      <x:c r="Q7" s="36"/>
      <x:c r="R7" s="37"/>
    </x:row>
    <x:row r="8">
      <x:c r="A8" s="187" t="str">
        <x:v>ATT-TW-SZ-004</x:v>
      </x:c>
      <x:c r="B8" s="188" t="str">
        <x:v>special_glass/wind/load</x:v>
      </x:c>
      <x:c r="C8" s="188" t="str">
        <x:v>—</x:v>
      </x:c>
      <x:c r="D8" s="188" t="str">
        <x:v>TW正本/公式表</x:v>
      </x:c>
      <x:c r="E8" s="188" t="str">
        <x:v>EXTERNAL_CHECK</x:v>
      </x:c>
      <x:c r="F8" s="188" t="str">
        <x:v>COMPLETE_WITH_EXTERNAL_CHECK</x:v>
      </x:c>
      <x:c r="G8" s="207" t="str">
        <x:v>ATT-TW-EV-001,003,015</x:v>
      </x:c>
      <x:c r="H8" s="62"/>
      <x:c r="I8" s="62"/>
      <x:c r="J8" s="62"/>
      <x:c r="K8" s="62"/>
      <x:c r="L8" s="62"/>
      <x:c r="M8" s="62"/>
      <x:c r="N8" s="62"/>
      <x:c r="O8" s="36"/>
      <x:c r="P8" s="36"/>
      <x:c r="Q8" s="36"/>
      <x:c r="R8" s="37"/>
    </x:row>
    <x:row r="9">
      <x:c r="A9" s="35"/>
      <x:c r="B9" s="36"/>
      <x:c r="C9" s="36"/>
      <x:c r="D9" s="36"/>
      <x:c r="E9" s="36"/>
      <x:c r="F9" s="36"/>
      <x:c r="G9" s="62"/>
      <x:c r="H9" s="62"/>
      <x:c r="I9" s="62"/>
      <x:c r="J9" s="62"/>
      <x:c r="K9" s="62"/>
      <x:c r="L9" s="62"/>
      <x:c r="M9" s="62"/>
      <x:c r="N9" s="62"/>
      <x:c r="O9" s="36"/>
      <x:c r="P9" s="36"/>
      <x:c r="Q9" s="36"/>
      <x:c r="R9" s="37"/>
    </x:row>
    <x:row r="10">
      <x:c r="A10" s="35"/>
      <x:c r="B10" s="36"/>
      <x:c r="C10" s="36"/>
      <x:c r="D10" s="36"/>
      <x:c r="E10" s="36"/>
      <x:c r="F10" s="36"/>
      <x:c r="G10" s="62"/>
      <x:c r="H10" s="62"/>
      <x:c r="I10" s="62"/>
      <x:c r="J10" s="62"/>
      <x:c r="K10" s="62"/>
      <x:c r="L10" s="62"/>
      <x:c r="M10" s="62"/>
      <x:c r="N10" s="62"/>
      <x:c r="O10" s="36"/>
      <x:c r="P10" s="36"/>
      <x:c r="Q10" s="36"/>
      <x:c r="R10" s="37"/>
    </x:row>
    <x:row r="11">
      <x:c r="A11" s="35"/>
      <x:c r="B11" s="36"/>
      <x:c r="C11" s="36"/>
      <x:c r="D11" s="36"/>
      <x:c r="E11" s="36"/>
      <x:c r="F11" s="36"/>
      <x:c r="G11" s="62"/>
      <x:c r="H11" s="62"/>
      <x:c r="I11" s="62"/>
      <x:c r="J11" s="62"/>
      <x:c r="K11" s="62"/>
      <x:c r="L11" s="62"/>
      <x:c r="M11" s="62"/>
      <x:c r="N11" s="62"/>
      <x:c r="O11" s="36"/>
      <x:c r="P11" s="36"/>
      <x:c r="Q11" s="36"/>
      <x:c r="R11" s="37"/>
    </x:row>
    <x:row r="12">
      <x:c r="A12" s="35"/>
      <x:c r="B12" s="36"/>
      <x:c r="C12" s="36"/>
      <x:c r="D12" s="36"/>
      <x:c r="E12" s="36"/>
      <x:c r="F12" s="36"/>
      <x:c r="G12" s="62"/>
      <x:c r="H12" s="62"/>
      <x:c r="I12" s="62"/>
      <x:c r="J12" s="62"/>
      <x:c r="K12" s="62"/>
      <x:c r="L12" s="62"/>
      <x:c r="M12" s="62"/>
      <x:c r="N12" s="62"/>
      <x:c r="O12" s="36"/>
      <x:c r="P12" s="36"/>
      <x:c r="Q12" s="36"/>
      <x:c r="R12" s="37"/>
    </x:row>
    <x:row r="13">
      <x:c r="A13" s="35"/>
      <x:c r="B13" s="36"/>
      <x:c r="C13" s="36"/>
      <x:c r="D13" s="36"/>
      <x:c r="E13" s="36"/>
      <x:c r="F13" s="36"/>
      <x:c r="G13" s="62"/>
      <x:c r="H13" s="62"/>
      <x:c r="I13" s="62"/>
      <x:c r="J13" s="62"/>
      <x:c r="K13" s="62"/>
      <x:c r="L13" s="62"/>
      <x:c r="M13" s="62"/>
      <x:c r="N13" s="62"/>
      <x:c r="O13" s="36"/>
      <x:c r="P13" s="36"/>
      <x:c r="Q13" s="36"/>
      <x:c r="R13" s="37"/>
    </x:row>
    <x:row r="14">
      <x:c r="A14" s="35"/>
      <x:c r="B14" s="36"/>
      <x:c r="C14" s="36"/>
      <x:c r="D14" s="36"/>
      <x:c r="E14" s="36"/>
      <x:c r="F14" s="36"/>
      <x:c r="G14" s="62"/>
      <x:c r="H14" s="62"/>
      <x:c r="I14" s="62"/>
      <x:c r="J14" s="62"/>
      <x:c r="K14" s="62"/>
      <x:c r="L14" s="62"/>
      <x:c r="M14" s="62"/>
      <x:c r="N14" s="62"/>
      <x:c r="O14" s="36"/>
      <x:c r="P14" s="36"/>
      <x:c r="Q14" s="36"/>
      <x:c r="R14" s="37"/>
    </x:row>
    <x:row r="15">
      <x:c r="A15" s="35"/>
      <x:c r="B15" s="36"/>
      <x:c r="C15" s="36"/>
      <x:c r="D15" s="36"/>
      <x:c r="E15" s="36"/>
      <x:c r="F15" s="36"/>
      <x:c r="G15" s="62"/>
      <x:c r="H15" s="62"/>
      <x:c r="I15" s="62"/>
      <x:c r="J15" s="62"/>
      <x:c r="K15" s="62"/>
      <x:c r="L15" s="62"/>
      <x:c r="M15" s="62"/>
      <x:c r="N15" s="62"/>
      <x:c r="O15" s="36"/>
      <x:c r="P15" s="36"/>
      <x:c r="Q15" s="36"/>
      <x:c r="R15" s="37"/>
    </x:row>
    <x:row r="16">
      <x:c r="A16" s="35"/>
      <x:c r="B16" s="36"/>
      <x:c r="C16" s="36"/>
      <x:c r="D16" s="36"/>
      <x:c r="E16" s="36"/>
      <x:c r="F16" s="36"/>
      <x:c r="G16" s="62"/>
      <x:c r="H16" s="62"/>
      <x:c r="I16" s="62"/>
      <x:c r="J16" s="62"/>
      <x:c r="K16" s="62"/>
      <x:c r="L16" s="62"/>
      <x:c r="M16" s="62"/>
      <x:c r="N16" s="62"/>
      <x:c r="O16" s="36"/>
      <x:c r="P16" s="36"/>
      <x:c r="Q16" s="36"/>
      <x:c r="R16" s="37"/>
    </x:row>
    <x:row r="17">
      <x:c r="A17" s="35"/>
      <x:c r="B17" s="36"/>
      <x:c r="C17" s="36"/>
      <x:c r="D17" s="36"/>
      <x:c r="E17" s="36"/>
      <x:c r="F17" s="36"/>
      <x:c r="G17" s="62"/>
      <x:c r="H17" s="62"/>
      <x:c r="I17" s="62"/>
      <x:c r="J17" s="62"/>
      <x:c r="K17" s="62"/>
      <x:c r="L17" s="62"/>
      <x:c r="M17" s="62"/>
      <x:c r="N17" s="62"/>
      <x:c r="O17" s="36"/>
      <x:c r="P17" s="36"/>
      <x:c r="Q17" s="36"/>
      <x:c r="R17" s="37"/>
    </x:row>
    <x:row r="18">
      <x:c r="A18" s="35"/>
      <x:c r="B18" s="36"/>
      <x:c r="C18" s="36"/>
      <x:c r="D18" s="36"/>
      <x:c r="E18" s="36"/>
      <x:c r="F18" s="36"/>
      <x:c r="G18" s="62"/>
      <x:c r="H18" s="62"/>
      <x:c r="I18" s="62"/>
      <x:c r="J18" s="62"/>
      <x:c r="K18" s="62"/>
      <x:c r="L18" s="62"/>
      <x:c r="M18" s="62"/>
      <x:c r="N18" s="62"/>
      <x:c r="O18" s="36"/>
      <x:c r="P18" s="36"/>
      <x:c r="Q18" s="36"/>
      <x:c r="R18" s="37"/>
    </x:row>
    <x:row r="19">
      <x:c r="A19" s="35"/>
      <x:c r="B19" s="36"/>
      <x:c r="C19" s="36"/>
      <x:c r="D19" s="36"/>
      <x:c r="E19" s="36"/>
      <x:c r="F19" s="36"/>
      <x:c r="G19" s="62"/>
      <x:c r="H19" s="62"/>
      <x:c r="I19" s="62"/>
      <x:c r="J19" s="62"/>
      <x:c r="K19" s="62"/>
      <x:c r="L19" s="62"/>
      <x:c r="M19" s="62"/>
      <x:c r="N19" s="62"/>
      <x:c r="O19" s="36"/>
      <x:c r="P19" s="36"/>
      <x:c r="Q19" s="36"/>
      <x:c r="R19" s="37"/>
    </x:row>
    <x:row r="20">
      <x:c r="A20" s="35"/>
      <x:c r="B20" s="36"/>
      <x:c r="C20" s="36"/>
      <x:c r="D20" s="36"/>
      <x:c r="E20" s="36"/>
      <x:c r="F20" s="36"/>
      <x:c r="G20" s="62"/>
      <x:c r="H20" s="62"/>
      <x:c r="I20" s="62"/>
      <x:c r="J20" s="62"/>
      <x:c r="K20" s="62"/>
      <x:c r="L20" s="62"/>
      <x:c r="M20" s="62"/>
      <x:c r="N20" s="62"/>
      <x:c r="O20" s="36"/>
      <x:c r="P20" s="36"/>
      <x:c r="Q20" s="36"/>
      <x:c r="R20" s="37"/>
    </x:row>
    <x:row r="21">
      <x:c r="A21" s="38"/>
      <x:c r="B21" s="39"/>
      <x:c r="C21" s="39"/>
      <x:c r="D21" s="39"/>
      <x:c r="E21" s="39"/>
      <x:c r="F21" s="39"/>
      <x:c r="G21" s="63"/>
      <x:c r="H21" s="63"/>
      <x:c r="I21" s="63"/>
      <x:c r="J21" s="63"/>
      <x:c r="K21" s="63"/>
      <x:c r="L21" s="63"/>
      <x:c r="M21" s="63"/>
      <x:c r="N21" s="63"/>
      <x:c r="O21" s="39"/>
      <x:c r="P21" s="39"/>
      <x:c r="Q21" s="39"/>
      <x:c r="R21" s="40"/>
    </x:row>
  </x:sheetData>
  <x:mergeCells>
    <x:mergeCell ref="A1:R1"/>
    <x:mergeCell ref="A2:R2"/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2" hidden="0" customWidth="1"/>
    <x:col min="4" max="4" width="12" hidden="0" customWidth="1"/>
    <x:col min="5" max="5" width="72" hidden="0" customWidth="1"/>
    <x:col min="6" max="6" width="72" hidden="0" customWidth="1"/>
    <x:col min="7" max="7" width="18" hidden="0" customWidth="1"/>
    <x:col min="8" max="8" width="24" hidden="0" customWidth="1"/>
    <x:col min="9" max="9" width="14" hidden="0" customWidth="1"/>
    <x:col min="10" max="10" width="14" hidden="0" customWidth="1"/>
  </x:cols>
  <x:sheetData>
    <x:row r="1" ht="28" customHeight="1">
      <x:c r="A1" s="178" t="str">
        <x:v>05A_サイズ区間｜アタッチ枠TW 現調数値条件</x:v>
      </x:c>
      <x:c r="B1" s="178"/>
      <x:c r="C1" s="178"/>
      <x:c r="D1" s="178"/>
      <x:c r="E1" s="178"/>
      <x:c r="F1" s="178"/>
      <x:c r="G1" s="178"/>
      <x:c r="H1" s="178"/>
      <x:c r="I1" s="4"/>
      <x:c r="J1" s="4"/>
    </x:row>
    <x:row r="2" ht="34" customHeight="1">
      <x:c r="A2" s="11"/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81" t="str">
        <x:v>rule_id</x:v>
      </x:c>
      <x:c r="B3" s="182" t="str">
        <x:v>dimension</x:v>
      </x:c>
      <x:c r="C3" s="182" t="str">
        <x:v>min</x:v>
      </x:c>
      <x:c r="D3" s="182" t="str">
        <x:v>max</x:v>
      </x:c>
      <x:c r="E3" s="182" t="str">
        <x:v>below_min</x:v>
      </x:c>
      <x:c r="F3" s="182" t="str">
        <x:v>above_max</x:v>
      </x:c>
      <x:c r="G3" s="182" t="str">
        <x:v>status</x:v>
      </x:c>
      <x:c r="H3" s="183" t="str">
        <x:v>evidence</x:v>
      </x:c>
    </x:row>
    <x:row r="4" ht="30" customHeight="1">
      <x:c r="A4" s="196" t="str">
        <x:v>ATT-TW-SILL</x:v>
      </x:c>
      <x:c r="B4" s="205" t="str">
        <x:v>lower_frame_rise</x:v>
      </x:c>
      <x:c r="C4" s="205" t="n">
        <x:v>29</x:v>
      </x:c>
      <x:c r="D4" s="205" t="n">
        <x:v>48</x:v>
      </x:c>
      <x:c r="E4" s="205" t="str">
        <x:v>差分スペーサーで新設サッシを持ち上げ、発注寸法を小さくする</x:v>
      </x:c>
      <x:c r="F4" s="205" t="str">
        <x:v>補強金具と既設下枠間に差分スペーサー</x:v>
      </x:c>
      <x:c r="G4" s="205" t="str">
        <x:v>COMPLETE</x:v>
      </x:c>
      <x:c r="H4" s="197" t="str">
        <x:v>ATT-TW-EV-010</x:v>
      </x:c>
      <x:c r="I4" s="33"/>
      <x:c r="J4" s="34"/>
    </x:row>
    <x:row r="5">
      <x:c r="A5" s="187" t="str">
        <x:v>ATT-TW-DEPTH</x:v>
      </x:c>
      <x:c r="B5" s="188" t="str">
        <x:v>existing_frame_depth</x:v>
      </x:c>
      <x:c r="C5" s="188" t="n">
        <x:v>0</x:v>
      </x:c>
      <x:c r="D5" s="188" t="n">
        <x:v>100</x:v>
      </x:c>
      <x:c r="E5" s="188" t="str">
        <x:v>—</x:v>
      </x:c>
      <x:c r="F5" s="188" t="str">
        <x:v>取付不可/個別確認</x:v>
      </x:c>
      <x:c r="G5" s="188" t="str">
        <x:v>COMPLETE</x:v>
      </x:c>
      <x:c r="H5" s="189" t="str">
        <x:v>ATT-TW-EV-008</x:v>
      </x:c>
      <x:c r="I5" s="36"/>
      <x:c r="J5" s="37"/>
    </x:row>
    <x:row r="6">
      <x:c r="A6" s="35"/>
      <x:c r="B6" s="36"/>
      <x:c r="C6" s="36"/>
      <x:c r="D6" s="36"/>
      <x:c r="E6" s="36"/>
      <x:c r="F6" s="36"/>
      <x:c r="G6" s="36"/>
      <x:c r="H6" s="36"/>
      <x:c r="I6" s="36"/>
      <x:c r="J6" s="37"/>
    </x:row>
    <x:row r="7">
      <x:c r="A7" s="35"/>
      <x:c r="B7" s="36"/>
      <x:c r="C7" s="36"/>
      <x:c r="D7" s="36"/>
      <x:c r="E7" s="36"/>
      <x:c r="F7" s="36"/>
      <x:c r="G7" s="36"/>
      <x:c r="H7" s="36"/>
      <x:c r="I7" s="36"/>
      <x:c r="J7" s="37"/>
    </x:row>
    <x:row r="8">
      <x:c r="A8" s="35"/>
      <x:c r="B8" s="36"/>
      <x:c r="C8" s="36"/>
      <x:c r="D8" s="36"/>
      <x:c r="E8" s="36"/>
      <x:c r="F8" s="36"/>
      <x:c r="G8" s="36"/>
      <x:c r="H8" s="36"/>
      <x:c r="I8" s="36"/>
      <x:c r="J8" s="37"/>
    </x:row>
    <x:row r="9">
      <x:c r="A9" s="35"/>
      <x:c r="B9" s="36"/>
      <x:c r="C9" s="36"/>
      <x:c r="D9" s="36"/>
      <x:c r="E9" s="36"/>
      <x:c r="F9" s="36"/>
      <x:c r="G9" s="36"/>
      <x:c r="H9" s="36"/>
      <x:c r="I9" s="36"/>
      <x:c r="J9" s="37"/>
    </x:row>
    <x:row r="10">
      <x:c r="A10" s="35"/>
      <x:c r="B10" s="36"/>
      <x:c r="C10" s="36"/>
      <x:c r="D10" s="36"/>
      <x:c r="E10" s="36"/>
      <x:c r="F10" s="36"/>
      <x:c r="G10" s="36"/>
      <x:c r="H10" s="36"/>
      <x:c r="I10" s="36"/>
      <x:c r="J10" s="37"/>
    </x:row>
    <x:row r="11">
      <x:c r="A11" s="35"/>
      <x:c r="B11" s="36"/>
      <x:c r="C11" s="36"/>
      <x:c r="D11" s="36"/>
      <x:c r="E11" s="36"/>
      <x:c r="F11" s="36"/>
      <x:c r="G11" s="36"/>
      <x:c r="H11" s="36"/>
      <x:c r="I11" s="36"/>
      <x:c r="J11" s="37"/>
    </x:row>
    <x:row r="12">
      <x:c r="A12" s="35"/>
      <x:c r="B12" s="36"/>
      <x:c r="C12" s="36"/>
      <x:c r="D12" s="36"/>
      <x:c r="E12" s="36"/>
      <x:c r="F12" s="36"/>
      <x:c r="G12" s="36"/>
      <x:c r="H12" s="36"/>
      <x:c r="I12" s="36"/>
      <x:c r="J12" s="37"/>
    </x:row>
    <x:row r="13">
      <x:c r="A13" s="35"/>
      <x:c r="B13" s="36"/>
      <x:c r="C13" s="36"/>
      <x:c r="D13" s="36"/>
      <x:c r="E13" s="36"/>
      <x:c r="F13" s="36"/>
      <x:c r="G13" s="36"/>
      <x:c r="H13" s="36"/>
      <x:c r="I13" s="36"/>
      <x:c r="J13" s="37"/>
    </x:row>
    <x:row r="14">
      <x:c r="A14" s="35"/>
      <x:c r="B14" s="36"/>
      <x:c r="C14" s="36"/>
      <x:c r="D14" s="36"/>
      <x:c r="E14" s="36"/>
      <x:c r="F14" s="36"/>
      <x:c r="G14" s="36"/>
      <x:c r="H14" s="36"/>
      <x:c r="I14" s="36"/>
      <x:c r="J14" s="37"/>
    </x:row>
    <x:row r="15">
      <x:c r="A15" s="35"/>
      <x:c r="B15" s="36"/>
      <x:c r="C15" s="36"/>
      <x:c r="D15" s="36"/>
      <x:c r="E15" s="36"/>
      <x:c r="F15" s="36"/>
      <x:c r="G15" s="36"/>
      <x:c r="H15" s="36"/>
      <x:c r="I15" s="36"/>
      <x:c r="J15" s="37"/>
    </x:row>
    <x:row r="16">
      <x:c r="A16" s="38"/>
      <x:c r="B16" s="39"/>
      <x:c r="C16" s="39"/>
      <x:c r="D16" s="39"/>
      <x:c r="E16" s="39"/>
      <x:c r="F16" s="39"/>
      <x:c r="G16" s="39"/>
      <x:c r="H16" s="39"/>
      <x:c r="I16" s="39"/>
      <x:c r="J16" s="40"/>
    </x:row>
  </x:sheetData>
  <x:mergeCells>
    <x:mergeCell ref="A1:J1"/>
    <x:mergeCell ref="A2:J2"/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24" hidden="0" customWidth="1"/>
    <x:col min="4" max="4" width="78" hidden="0" customWidth="1"/>
    <x:col min="5" max="5" width="30" hidden="0" customWidth="1"/>
    <x:col min="6" max="6" width="30" hidden="0" customWidth="1"/>
    <x:col min="7" max="7" width="24" hidden="0" customWidth="1"/>
    <x:col min="8" max="8" width="14" hidden="0" customWidth="1"/>
  </x:cols>
  <x:sheetData>
    <x:row r="1" ht="28" customHeight="1">
      <x:c r="A1" s="178" t="str">
        <x:v>05B_境界ルール｜アタッチ枠TW</x:v>
      </x:c>
      <x:c r="B1" s="178"/>
      <x:c r="C1" s="178"/>
      <x:c r="D1" s="178"/>
      <x:c r="E1" s="178"/>
      <x:c r="F1" s="178"/>
      <x:c r="G1" s="178"/>
      <x:c r="H1" s="4"/>
    </x:row>
    <x:row r="2" ht="34" customHeight="1">
      <x:c r="A2" s="11"/>
      <x:c r="B2" s="11"/>
      <x:c r="C2" s="11"/>
      <x:c r="D2" s="11"/>
      <x:c r="E2" s="11"/>
      <x:c r="F2" s="11"/>
      <x:c r="G2" s="11"/>
      <x:c r="H2" s="11"/>
    </x:row>
    <x:row r="3">
      <x:c r="A3" s="181" t="str">
        <x:v>boundary_rule_id</x:v>
      </x:c>
      <x:c r="B3" s="182" t="str">
        <x:v>scope</x:v>
      </x:c>
      <x:c r="C3" s="182" t="str">
        <x:v>boundary_type</x:v>
      </x:c>
      <x:c r="D3" s="182" t="str">
        <x:v>rule</x:v>
      </x:c>
      <x:c r="E3" s="182" t="str">
        <x:v>auto_mode</x:v>
      </x:c>
      <x:c r="F3" s="182" t="str">
        <x:v>status</x:v>
      </x:c>
      <x:c r="G3" s="183" t="str">
        <x:v>evidence</x:v>
      </x:c>
    </x:row>
    <x:row r="4" ht="30" customHeight="1">
      <x:c r="A4" s="196" t="str">
        <x:v>ATT-TW-BR-TWMASTER</x:v>
      </x:c>
      <x:c r="B4" s="205" t="str">
        <x:v>referenced_product_size</x:v>
      </x:c>
      <x:c r="C4" s="205" t="str">
        <x:v>REFERENCE</x:v>
      </x:c>
      <x:c r="D4" s="205" t="str">
        <x:v>TW正本サイズルールへ委譲</x:v>
      </x:c>
      <x:c r="E4" s="205" t="str">
        <x:v>REFERENCE_VALIDATION</x:v>
      </x:c>
      <x:c r="F4" s="205" t="str">
        <x:v>COMPLETE</x:v>
      </x:c>
      <x:c r="G4" s="197" t="str">
        <x:v>ATT-TW-EV-003</x:v>
      </x:c>
      <x:c r="H4" s="34"/>
    </x:row>
    <x:row r="5">
      <x:c r="A5" s="184" t="str">
        <x:v>ATT-TW-BR-WIND</x:v>
      </x:c>
      <x:c r="B5" s="185" t="str">
        <x:v>耐風圧</x:v>
      </x:c>
      <x:c r="C5" s="185" t="str">
        <x:v>EXTERNAL</x:v>
      </x:c>
      <x:c r="D5" s="185" t="str">
        <x:v>通常見積で要求等級入力は取らず特殊案件のみ確認</x:v>
      </x:c>
      <x:c r="E5" s="185" t="str">
        <x:v>EXTERNAL_CHECK</x:v>
      </x:c>
      <x:c r="F5" s="185" t="str">
        <x:v>COMPLETE_WITH_EXTERNAL_CHECK</x:v>
      </x:c>
      <x:c r="G5" s="186" t="str">
        <x:v>ATT-TW-EV-001,015</x:v>
      </x:c>
      <x:c r="H5" s="37"/>
    </x:row>
    <x:row r="6">
      <x:c r="A6" s="184" t="str">
        <x:v>ATT-TW-BR-GLASS</x:v>
      </x:c>
      <x:c r="B6" s="185" t="str">
        <x:v>ガラス面積/障子重量/戸車耐荷重</x:v>
      </x:c>
      <x:c r="C6" s="185" t="str">
        <x:v>EXTERNAL</x:v>
      </x:c>
      <x:c r="D6" s="185" t="str">
        <x:v>TW正本・公式表へ</x:v>
      </x:c>
      <x:c r="E6" s="185" t="str">
        <x:v>EXTERNAL_CHECK</x:v>
      </x:c>
      <x:c r="F6" s="185" t="str">
        <x:v>COMPLETE_WITH_EXTERNAL_CHECK</x:v>
      </x:c>
      <x:c r="G6" s="186" t="str">
        <x:v>ATT-TW-EV-003,015</x:v>
      </x:c>
      <x:c r="H6" s="37"/>
    </x:row>
    <x:row r="7">
      <x:c r="A7" s="187" t="str">
        <x:v>ATT-TW-BR-COMPOSITE</x:v>
      </x:c>
      <x:c r="B7" s="188" t="str">
        <x:v>連窓/段窓特殊納まり</x:v>
      </x:c>
      <x:c r="C7" s="188" t="str">
        <x:v>EXTERNAL</x:v>
      </x:c>
      <x:c r="D7" s="188" t="str">
        <x:v>方立/無目はアタッチ枠部材。複合寸法は公式確認</x:v>
      </x:c>
      <x:c r="E7" s="188" t="str">
        <x:v>EXTERNAL_CHECK</x:v>
      </x:c>
      <x:c r="F7" s="188" t="str">
        <x:v>COMPLETE_WITH_EXTERNAL_CHECK</x:v>
      </x:c>
      <x:c r="G7" s="189" t="str">
        <x:v>ATT-TW-EV-004,015</x:v>
      </x:c>
      <x:c r="H7" s="37"/>
    </x:row>
    <x:row r="8">
      <x:c r="A8" s="35"/>
      <x:c r="B8" s="36"/>
      <x:c r="C8" s="36"/>
      <x:c r="D8" s="36"/>
      <x:c r="E8" s="36"/>
      <x:c r="F8" s="36"/>
      <x:c r="G8" s="36"/>
      <x:c r="H8" s="37"/>
    </x:row>
    <x:row r="9">
      <x:c r="A9" s="35"/>
      <x:c r="B9" s="36"/>
      <x:c r="C9" s="36"/>
      <x:c r="D9" s="36"/>
      <x:c r="E9" s="36"/>
      <x:c r="F9" s="36"/>
      <x:c r="G9" s="36"/>
      <x:c r="H9" s="37"/>
    </x:row>
    <x:row r="10">
      <x:c r="A10" s="35"/>
      <x:c r="B10" s="36"/>
      <x:c r="C10" s="36"/>
      <x:c r="D10" s="36"/>
      <x:c r="E10" s="36"/>
      <x:c r="F10" s="36"/>
      <x:c r="G10" s="36"/>
      <x:c r="H10" s="37"/>
    </x:row>
    <x:row r="11">
      <x:c r="A11" s="35"/>
      <x:c r="B11" s="36"/>
      <x:c r="C11" s="36"/>
      <x:c r="D11" s="36"/>
      <x:c r="E11" s="36"/>
      <x:c r="F11" s="36"/>
      <x:c r="G11" s="36"/>
      <x:c r="H11" s="37"/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35"/>
      <x:c r="B13" s="36"/>
      <x:c r="C13" s="36"/>
      <x:c r="D13" s="36"/>
      <x:c r="E13" s="36"/>
      <x:c r="F13" s="36"/>
      <x:c r="G13" s="36"/>
      <x:c r="H13" s="37"/>
    </x:row>
    <x:row r="14">
      <x:c r="A14" s="35"/>
      <x:c r="B14" s="36"/>
      <x:c r="C14" s="36"/>
      <x:c r="D14" s="36"/>
      <x:c r="E14" s="36"/>
      <x:c r="F14" s="36"/>
      <x:c r="G14" s="36"/>
      <x:c r="H14" s="37"/>
    </x:row>
    <x:row r="15">
      <x:c r="A15" s="35"/>
      <x:c r="B15" s="36"/>
      <x:c r="C15" s="36"/>
      <x:c r="D15" s="36"/>
      <x:c r="E15" s="36"/>
      <x:c r="F15" s="36"/>
      <x:c r="G15" s="36"/>
      <x:c r="H15" s="37"/>
    </x:row>
    <x:row r="16">
      <x:c r="A16" s="38"/>
      <x:c r="B16" s="39"/>
      <x:c r="C16" s="39"/>
      <x:c r="D16" s="39"/>
      <x:c r="E16" s="39"/>
      <x:c r="F16" s="39"/>
      <x:c r="G16" s="39"/>
      <x:c r="H16" s="40"/>
    </x:row>
  </x:sheetData>
  <x:mergeCells>
    <x:mergeCell ref="A1:H1"/>
    <x:mergeCell ref="A2:H2"/>
    <x:mergeCell ref="A1:G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4" hidden="0" customWidth="1"/>
    <x:col min="4" max="4" width="42" hidden="0" customWidth="1"/>
    <x:col min="5" max="5" width="30" hidden="0" customWidth="1"/>
    <x:col min="6" max="6" width="30" hidden="0" customWidth="1"/>
    <x:col min="7" max="7" width="18" hidden="0" customWidth="1"/>
    <x:col min="8" max="8" width="24" hidden="0" customWidth="1"/>
  </x:cols>
  <x:sheetData>
    <x:row r="1" ht="28" customHeight="1">
      <x:c r="A1" s="178" t="str">
        <x:v>06_色｜アタッチ枠TW ローカル部材色</x:v>
      </x:c>
      <x:c r="B1" s="178"/>
      <x:c r="C1" s="178"/>
      <x:c r="D1" s="178"/>
      <x:c r="E1" s="178"/>
      <x:c r="F1" s="178"/>
      <x:c r="G1" s="178"/>
      <x:c r="H1" s="178"/>
    </x:row>
    <x:row r="2" ht="40" customHeight="1">
      <x:c r="A2" s="179" t="str">
        <x:v>TWサッシ本体の外観/内観色はTW正本から取得し、このマスターへ複製しない。</x:v>
      </x:c>
      <x:c r="B2" s="179"/>
      <x:c r="C2" s="179"/>
      <x:c r="D2" s="179"/>
      <x:c r="E2" s="179"/>
      <x:c r="F2" s="179"/>
      <x:c r="G2" s="179"/>
      <x:c r="H2" s="179"/>
    </x:row>
    <x:row r="3" ht="30" customHeight="1">
      <x:c r="A3" s="32"/>
      <x:c r="B3" s="33"/>
      <x:c r="C3" s="33"/>
      <x:c r="D3" s="33"/>
      <x:c r="E3" s="33"/>
      <x:c r="F3" s="33"/>
      <x:c r="G3" s="33"/>
      <x:c r="H3" s="34"/>
    </x:row>
    <x:row r="4">
      <x:c r="A4" s="212" t="str">
        <x:v>color_id</x:v>
      </x:c>
      <x:c r="B4" s="213" t="str">
        <x:v>color_role</x:v>
      </x:c>
      <x:c r="C4" s="213" t="str">
        <x:v>code</x:v>
      </x:c>
      <x:c r="D4" s="213" t="str">
        <x:v>正式名称/扱い</x:v>
      </x:c>
      <x:c r="E4" s="213" t="str">
        <x:v>selection_mode</x:v>
      </x:c>
      <x:c r="F4" s="213" t="str">
        <x:v>対象</x:v>
      </x:c>
      <x:c r="G4" s="213" t="str">
        <x:v>status</x:v>
      </x:c>
      <x:c r="H4" s="214" t="str">
        <x:v>evidence</x:v>
      </x:c>
    </x:row>
    <x:row r="5">
      <x:c r="A5" s="184" t="str">
        <x:v>ATT-TW-COV-T</x:v>
      </x:c>
      <x:c r="B5" s="185" t="str">
        <x:v>exterior_cover_color</x:v>
      </x:c>
      <x:c r="C5" s="185" t="str">
        <x:v>T</x:v>
      </x:c>
      <x:c r="D5" s="185" t="str">
        <x:v>ブラック</x:v>
      </x:c>
      <x:c r="E5" s="185" t="str">
        <x:v>USER_SELECT</x:v>
      </x:c>
      <x:c r="F5" s="185" t="str">
        <x:v>化粧カバー</x:v>
      </x:c>
      <x:c r="G5" s="185" t="str">
        <x:v>COMPLETE</x:v>
      </x:c>
      <x:c r="H5" s="186" t="str">
        <x:v>ATT-TW-EV-002</x:v>
      </x:c>
    </x:row>
    <x:row r="6">
      <x:c r="A6" s="184" t="str">
        <x:v>ATT-TW-COV-G</x:v>
      </x:c>
      <x:c r="B6" s="185" t="str">
        <x:v>exterior_cover_color</x:v>
      </x:c>
      <x:c r="C6" s="185" t="str">
        <x:v>G</x:v>
      </x:c>
      <x:c r="D6" s="185" t="str">
        <x:v>オータムブラウン</x:v>
      </x:c>
      <x:c r="E6" s="185" t="str">
        <x:v>USER_SELECT</x:v>
      </x:c>
      <x:c r="F6" s="185" t="str">
        <x:v>化粧カバー</x:v>
      </x:c>
      <x:c r="G6" s="185" t="str">
        <x:v>COMPLETE</x:v>
      </x:c>
      <x:c r="H6" s="186" t="str">
        <x:v>ATT-TW-EV-002</x:v>
      </x:c>
    </x:row>
    <x:row r="7">
      <x:c r="A7" s="184" t="str">
        <x:v>ATT-TW-COV-K</x:v>
      </x:c>
      <x:c r="B7" s="185" t="str">
        <x:v>exterior_cover_color</x:v>
      </x:c>
      <x:c r="C7" s="185" t="str">
        <x:v>K</x:v>
      </x:c>
      <x:c r="D7" s="185" t="str">
        <x:v>シャイングレー</x:v>
      </x:c>
      <x:c r="E7" s="185" t="str">
        <x:v>USER_SELECT</x:v>
      </x:c>
      <x:c r="F7" s="185" t="str">
        <x:v>化粧カバー</x:v>
      </x:c>
      <x:c r="G7" s="185" t="str">
        <x:v>COMPLETE</x:v>
      </x:c>
      <x:c r="H7" s="186" t="str">
        <x:v>ATT-TW-EV-002</x:v>
      </x:c>
    </x:row>
    <x:row r="8">
      <x:c r="A8" s="184" t="str">
        <x:v>ATT-TW-COV-D</x:v>
      </x:c>
      <x:c r="B8" s="185" t="str">
        <x:v>exterior_cover_color</x:v>
      </x:c>
      <x:c r="C8" s="185" t="str">
        <x:v>D</x:v>
      </x:c>
      <x:c r="D8" s="185" t="str">
        <x:v>ナチュラルシルバー</x:v>
      </x:c>
      <x:c r="E8" s="185" t="str">
        <x:v>USER_SELECT</x:v>
      </x:c>
      <x:c r="F8" s="185" t="str">
        <x:v>化粧カバー</x:v>
      </x:c>
      <x:c r="G8" s="185" t="str">
        <x:v>COMPLETE</x:v>
      </x:c>
      <x:c r="H8" s="186" t="str">
        <x:v>ATT-TW-EV-002</x:v>
      </x:c>
    </x:row>
    <x:row r="9">
      <x:c r="A9" s="184" t="str">
        <x:v>ATT-TW-COV-W</x:v>
      </x:c>
      <x:c r="B9" s="185" t="str">
        <x:v>exterior_cover_color</x:v>
      </x:c>
      <x:c r="C9" s="185" t="str">
        <x:v>W</x:v>
      </x:c>
      <x:c r="D9" s="185" t="str">
        <x:v>ホワイト</x:v>
      </x:c>
      <x:c r="E9" s="185" t="str">
        <x:v>USER_SELECT</x:v>
      </x:c>
      <x:c r="F9" s="185" t="str">
        <x:v>化粧カバー</x:v>
      </x:c>
      <x:c r="G9" s="185" t="str">
        <x:v>COMPLETE</x:v>
      </x:c>
      <x:c r="H9" s="186" t="str">
        <x:v>ATT-TW-EV-002</x:v>
      </x:c>
    </x:row>
    <x:row r="10">
      <x:c r="A10" s="184" t="str">
        <x:v>ATT-TW-ANG-M</x:v>
      </x:c>
      <x:c r="B10" s="185" t="str">
        <x:v>interior_cover_color</x:v>
      </x:c>
      <x:c r="C10" s="185" t="str">
        <x:v>M</x:v>
      </x:c>
      <x:c r="D10" s="185" t="str">
        <x:v>ブラック</x:v>
      </x:c>
      <x:c r="E10" s="185" t="str">
        <x:v>USER_SELECT</x:v>
      </x:c>
      <x:c r="F10" s="185" t="str">
        <x:v>樹脂アングルカバー</x:v>
      </x:c>
      <x:c r="G10" s="185" t="str">
        <x:v>COMPLETE</x:v>
      </x:c>
      <x:c r="H10" s="186" t="str">
        <x:v>ATT-TW-EV-002</x:v>
      </x:c>
    </x:row>
    <x:row r="11">
      <x:c r="A11" s="184" t="str">
        <x:v>ATT-TW-ANG-C</x:v>
      </x:c>
      <x:c r="B11" s="185" t="str">
        <x:v>interior_cover_color</x:v>
      </x:c>
      <x:c r="C11" s="185" t="str">
        <x:v>C</x:v>
      </x:c>
      <x:c r="D11" s="185" t="str">
        <x:v>クリエモカP</x:v>
      </x:c>
      <x:c r="E11" s="185" t="str">
        <x:v>USER_SELECT</x:v>
      </x:c>
      <x:c r="F11" s="185" t="str">
        <x:v>樹脂アングルカバー</x:v>
      </x:c>
      <x:c r="G11" s="185" t="str">
        <x:v>COMPLETE</x:v>
      </x:c>
      <x:c r="H11" s="186" t="str">
        <x:v>ATT-TW-EV-002</x:v>
      </x:c>
    </x:row>
    <x:row r="12">
      <x:c r="A12" s="184" t="str">
        <x:v>ATT-TW-ANG-B</x:v>
      </x:c>
      <x:c r="B12" s="185" t="str">
        <x:v>interior_cover_color</x:v>
      </x:c>
      <x:c r="C12" s="185" t="str">
        <x:v>B</x:v>
      </x:c>
      <x:c r="D12" s="185" t="str">
        <x:v>クリエラスクP</x:v>
      </x:c>
      <x:c r="E12" s="185" t="str">
        <x:v>USER_SELECT</x:v>
      </x:c>
      <x:c r="F12" s="185" t="str">
        <x:v>樹脂アングルカバー</x:v>
      </x:c>
      <x:c r="G12" s="185" t="str">
        <x:v>COMPLETE</x:v>
      </x:c>
      <x:c r="H12" s="186" t="str">
        <x:v>ATT-TW-EV-002</x:v>
      </x:c>
    </x:row>
    <x:row r="13">
      <x:c r="A13" s="184" t="str">
        <x:v>ATT-TW-ANG-P</x:v>
      </x:c>
      <x:c r="B13" s="185" t="str">
        <x:v>interior_cover_color</x:v>
      </x:c>
      <x:c r="C13" s="185" t="str">
        <x:v>P</x:v>
      </x:c>
      <x:c r="D13" s="185" t="str">
        <x:v>クリエペールP</x:v>
      </x:c>
      <x:c r="E13" s="185" t="str">
        <x:v>USER_SELECT</x:v>
      </x:c>
      <x:c r="F13" s="185" t="str">
        <x:v>樹脂アングルカバー</x:v>
      </x:c>
      <x:c r="G13" s="185" t="str">
        <x:v>COMPLETE</x:v>
      </x:c>
      <x:c r="H13" s="186" t="str">
        <x:v>ATT-TW-EV-002</x:v>
      </x:c>
    </x:row>
    <x:row r="14">
      <x:c r="A14" s="184" t="str">
        <x:v>ATT-TW-ANG-F</x:v>
      </x:c>
      <x:c r="B14" s="185" t="str">
        <x:v>interior_cover_color</x:v>
      </x:c>
      <x:c r="C14" s="185" t="str">
        <x:v>F</x:v>
      </x:c>
      <x:c r="D14" s="185" t="str">
        <x:v>プレシャスホワイトP</x:v>
      </x:c>
      <x:c r="E14" s="185" t="str">
        <x:v>USER_SELECT</x:v>
      </x:c>
      <x:c r="F14" s="185" t="str">
        <x:v>樹脂アングルカバー</x:v>
      </x:c>
      <x:c r="G14" s="185" t="str">
        <x:v>COMPLETE</x:v>
      </x:c>
      <x:c r="H14" s="186" t="str">
        <x:v>ATT-TW-EV-002</x:v>
      </x:c>
    </x:row>
    <x:row r="15">
      <x:c r="A15" s="184" t="str">
        <x:v>ATT-TW-SASH-REF</x:v>
      </x:c>
      <x:c r="B15" s="185" t="str">
        <x:v>sash_color</x:v>
      </x:c>
      <x:c r="C15" s="185" t="str">
        <x:v>REFERENCE</x:v>
      </x:c>
      <x:c r="D15" s="185" t="str">
        <x:v>TW正本</x:v>
      </x:c>
      <x:c r="E15" s="185" t="str">
        <x:v>REFERENCE_ONLY</x:v>
      </x:c>
      <x:c r="F15" s="185" t="str">
        <x:v>TW本体色</x:v>
      </x:c>
      <x:c r="G15" s="185" t="str">
        <x:v>COMPLETE</x:v>
      </x:c>
      <x:c r="H15" s="186" t="str">
        <x:v>ATT-TW-EV-003</x:v>
      </x:c>
    </x:row>
    <x:row r="16">
      <x:c r="A16" s="187" t="str">
        <x:v>ATT-TW-FRAME-COLOR</x:v>
      </x:c>
      <x:c r="B16" s="188" t="str">
        <x:v>attachment_frame_color</x:v>
      </x:c>
      <x:c r="C16" s="188" t="str">
        <x:v>—</x:v>
      </x:c>
      <x:c r="D16" s="188" t="str">
        <x:v>独立した通常UI色軸として公式提示なし</x:v>
      </x:c>
      <x:c r="E16" s="188" t="str">
        <x:v>NOT_APPLICABLE_AS_UI_AXIS</x:v>
      </x:c>
      <x:c r="F16" s="188" t="str">
        <x:v>アタッチ枠本体</x:v>
      </x:c>
      <x:c r="G16" s="188" t="str">
        <x:v>COMPLETE</x:v>
      </x:c>
      <x:c r="H16" s="189" t="str">
        <x:v>ATT-TW-EV-002</x:v>
      </x:c>
    </x:row>
    <x:row r="17">
      <x:c r="A17" s="35"/>
      <x:c r="B17" s="36"/>
      <x:c r="C17" s="36"/>
      <x:c r="D17" s="36"/>
      <x:c r="E17" s="36"/>
      <x:c r="F17" s="36"/>
      <x:c r="G17" s="36"/>
      <x:c r="H17" s="37"/>
    </x:row>
    <x:row r="18">
      <x:c r="A18" s="35"/>
      <x:c r="B18" s="36"/>
      <x:c r="C18" s="36"/>
      <x:c r="D18" s="36"/>
      <x:c r="E18" s="36"/>
      <x:c r="F18" s="36"/>
      <x:c r="G18" s="36"/>
      <x:c r="H18" s="37"/>
    </x:row>
    <x:row r="19">
      <x:c r="A19" s="35"/>
      <x:c r="B19" s="36"/>
      <x:c r="C19" s="36"/>
      <x:c r="D19" s="36"/>
      <x:c r="E19" s="36"/>
      <x:c r="F19" s="36"/>
      <x:c r="G19" s="36"/>
      <x:c r="H19" s="37"/>
    </x:row>
    <x:row r="20">
      <x:c r="A20" s="35"/>
      <x:c r="B20" s="36"/>
      <x:c r="C20" s="36"/>
      <x:c r="D20" s="36"/>
      <x:c r="E20" s="36"/>
      <x:c r="F20" s="36"/>
      <x:c r="G20" s="36"/>
      <x:c r="H20" s="37"/>
    </x:row>
    <x:row r="21">
      <x:c r="A21" s="35"/>
      <x:c r="B21" s="36"/>
      <x:c r="C21" s="36"/>
      <x:c r="D21" s="36"/>
      <x:c r="E21" s="36"/>
      <x:c r="F21" s="36"/>
      <x:c r="G21" s="36"/>
      <x:c r="H21" s="37"/>
    </x:row>
    <x:row r="22">
      <x:c r="A22" s="35"/>
      <x:c r="B22" s="36"/>
      <x:c r="C22" s="36"/>
      <x:c r="D22" s="36"/>
      <x:c r="E22" s="36"/>
      <x:c r="F22" s="36"/>
      <x:c r="G22" s="36"/>
      <x:c r="H22" s="37"/>
    </x:row>
    <x:row r="23">
      <x:c r="A23" s="35"/>
      <x:c r="B23" s="36"/>
      <x:c r="C23" s="36"/>
      <x:c r="D23" s="36"/>
      <x:c r="E23" s="36"/>
      <x:c r="F23" s="36"/>
      <x:c r="G23" s="36"/>
      <x:c r="H23" s="37"/>
    </x:row>
    <x:row r="24">
      <x:c r="A24" s="35"/>
      <x:c r="B24" s="36"/>
      <x:c r="C24" s="36"/>
      <x:c r="D24" s="36"/>
      <x:c r="E24" s="36"/>
      <x:c r="F24" s="36"/>
      <x:c r="G24" s="36"/>
      <x:c r="H24" s="37"/>
    </x:row>
    <x:row r="25">
      <x:c r="A25" s="35"/>
      <x:c r="B25" s="36"/>
      <x:c r="C25" s="36"/>
      <x:c r="D25" s="36"/>
      <x:c r="E25" s="36"/>
      <x:c r="F25" s="36"/>
      <x:c r="G25" s="36"/>
      <x:c r="H25" s="37"/>
    </x:row>
    <x:row r="26">
      <x:c r="A26" s="35"/>
      <x:c r="B26" s="36"/>
      <x:c r="C26" s="36"/>
      <x:c r="D26" s="36"/>
      <x:c r="E26" s="36"/>
      <x:c r="F26" s="36"/>
      <x:c r="G26" s="36"/>
      <x:c r="H26" s="37"/>
    </x:row>
    <x:row r="27">
      <x:c r="A27" s="35"/>
      <x:c r="B27" s="36"/>
      <x:c r="C27" s="36"/>
      <x:c r="D27" s="36"/>
      <x:c r="E27" s="36"/>
      <x:c r="F27" s="36"/>
      <x:c r="G27" s="36"/>
      <x:c r="H27" s="37"/>
    </x:row>
    <x:row r="28">
      <x:c r="A28" s="35"/>
      <x:c r="B28" s="36"/>
      <x:c r="C28" s="36"/>
      <x:c r="D28" s="36"/>
      <x:c r="E28" s="36"/>
      <x:c r="F28" s="36"/>
      <x:c r="G28" s="36"/>
      <x:c r="H28" s="37"/>
    </x:row>
    <x:row r="29">
      <x:c r="A29" s="38"/>
      <x:c r="B29" s="39"/>
      <x:c r="C29" s="39"/>
      <x:c r="D29" s="39"/>
      <x:c r="E29" s="39"/>
      <x:c r="F29" s="39"/>
      <x:c r="G29" s="39"/>
      <x:c r="H29" s="40"/>
    </x:row>
  </x:sheetData>
  <x:mergeCells>
    <x:mergeCell ref="A1:H1"/>
    <x:mergeCell ref="A2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28" hidden="0" customWidth="1"/>
    <x:col min="5" max="5" width="30" hidden="0" customWidth="1"/>
    <x:col min="6" max="6" width="72" hidden="0" customWidth="1"/>
    <x:col min="7" max="7" width="18" hidden="0" customWidth="1"/>
    <x:col min="8" max="8" width="24" hidden="0" customWidth="1"/>
    <x:col min="9" max="9" width="16" hidden="0" customWidth="1"/>
  </x:cols>
  <x:sheetData>
    <x:row r="1" ht="28" customHeight="1">
      <x:c r="A1" s="178" t="str">
        <x:v>06A_色適用条件｜アタッチ枠TW</x:v>
      </x:c>
      <x:c r="B1" s="178"/>
      <x:c r="C1" s="178"/>
      <x:c r="D1" s="178"/>
      <x:c r="E1" s="178"/>
      <x:c r="F1" s="178"/>
      <x:c r="G1" s="178"/>
      <x:c r="H1" s="178"/>
      <x:c r="I1" s="4"/>
    </x:row>
    <x:row r="3" ht="30" customHeight="1">
      <x:c r="A3" s="181" t="str">
        <x:v>rule_id</x:v>
      </x:c>
      <x:c r="B3" s="182" t="str">
        <x:v>source</x:v>
      </x:c>
      <x:c r="C3" s="182" t="str">
        <x:v>sash_color</x:v>
      </x:c>
      <x:c r="D3" s="182" t="str">
        <x:v>exterior_cover</x:v>
      </x:c>
      <x:c r="E3" s="182" t="str">
        <x:v>interior_cover</x:v>
      </x:c>
      <x:c r="F3" s="182" t="str">
        <x:v>condition</x:v>
      </x:c>
      <x:c r="G3" s="182" t="str">
        <x:v>status</x:v>
      </x:c>
      <x:c r="H3" s="183" t="str">
        <x:v>evidence</x:v>
      </x:c>
      <x:c r="I3" s="34"/>
    </x:row>
    <x:row r="4">
      <x:c r="A4" s="187" t="str">
        <x:v>ATT-TW-CM-REF</x:v>
      </x:c>
      <x:c r="B4" s="188" t="str">
        <x:v>TW_MASTER</x:v>
      </x:c>
      <x:c r="C4" s="188" t="str">
        <x:v>REFERENCE</x:v>
      </x:c>
      <x:c r="D4" s="188" t="str">
        <x:v>5色（ローカル）</x:v>
      </x:c>
      <x:c r="E4" s="188" t="str">
        <x:v>5色（ローカル）</x:v>
      </x:c>
      <x:c r="F4" s="188" t="str">
        <x:v>TW本体色は参照。カバー/アングルは公式部材色から選択</x:v>
      </x:c>
      <x:c r="G4" s="188" t="str">
        <x:v>COMPLETE</x:v>
      </x:c>
      <x:c r="H4" s="189" t="str">
        <x:v>ATT-TW-EV-002,003</x:v>
      </x:c>
      <x:c r="I4" s="37"/>
    </x:row>
    <x:row r="5">
      <x:c r="A5" s="38"/>
      <x:c r="B5" s="39"/>
      <x:c r="C5" s="39"/>
      <x:c r="D5" s="39"/>
      <x:c r="E5" s="39"/>
      <x:c r="F5" s="39"/>
      <x:c r="G5" s="39"/>
      <x:c r="H5" s="39"/>
      <x:c r="I5" s="40"/>
    </x:row>
  </x:sheetData>
  <x:mergeCells>
    <x:mergeCell ref="A1:I1"/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4" hidden="0" customWidth="1"/>
    <x:col min="4" max="4" width="16" hidden="0" customWidth="1"/>
    <x:col min="5" max="5" width="90" hidden="0" customWidth="1"/>
    <x:col min="6" max="6" width="18" hidden="0" customWidth="1"/>
    <x:col min="7" max="7" width="24" hidden="0" customWidth="1"/>
    <x:col min="8" max="8" width="14" hidden="0" customWidth="1"/>
    <x:col min="9" max="9" width="18" hidden="0" customWidth="1"/>
  </x:cols>
  <x:sheetData>
    <x:row r="1" ht="28" customHeight="1">
      <x:c r="A1" s="178" t="str">
        <x:v>07_網戸｜TW正本参照</x:v>
      </x:c>
      <x:c r="B1" s="178"/>
      <x:c r="C1" s="178"/>
      <x:c r="D1" s="178"/>
      <x:c r="E1" s="178"/>
      <x:c r="F1" s="178"/>
      <x:c r="G1" s="178"/>
      <x:c r="H1" s="127"/>
      <x:c r="I1" s="127"/>
    </x:row>
    <x:row r="2" ht="34" customHeight="1">
      <x:c r="A2" s="130"/>
      <x:c r="B2" s="130"/>
      <x:c r="C2" s="130"/>
      <x:c r="D2" s="130"/>
      <x:c r="E2" s="130"/>
      <x:c r="F2" s="130"/>
      <x:c r="G2" s="130"/>
      <x:c r="H2" s="130"/>
      <x:c r="I2" s="133"/>
    </x:row>
    <x:row r="3">
      <x:c r="A3" s="181" t="str">
        <x:v>record_id</x:v>
      </x:c>
      <x:c r="B3" s="182" t="str">
        <x:v>source</x:v>
      </x:c>
      <x:c r="C3" s="182" t="str">
        <x:v>scope</x:v>
      </x:c>
      <x:c r="D3" s="182" t="str">
        <x:v>local_copy</x:v>
      </x:c>
      <x:c r="E3" s="182" t="str">
        <x:v>restriction</x:v>
      </x:c>
      <x:c r="F3" s="182" t="str">
        <x:v>status</x:v>
      </x:c>
      <x:c r="G3" s="183" t="str">
        <x:v>evidence</x:v>
      </x:c>
    </x:row>
    <x:row r="4" ht="30" customHeight="1">
      <x:c r="A4" s="217" t="str">
        <x:v>ATT-TW-SCREEN-REF</x:v>
      </x:c>
      <x:c r="B4" s="218" t="str">
        <x:v>TW_MASTER</x:v>
      </x:c>
      <x:c r="C4" s="218" t="str">
        <x:v>referenced_window_id</x:v>
      </x:c>
      <x:c r="D4" s="218" t="str">
        <x:v>NO</x:v>
      </x:c>
      <x:c r="E4" s="218" t="str">
        <x:v>アタッチ枠公式対応表で窓種を絞った後、TW正本の網戸設定を使用</x:v>
      </x:c>
      <x:c r="F4" s="218" t="str">
        <x:v>COMPLETE</x:v>
      </x:c>
      <x:c r="G4" s="219" t="str">
        <x:v>ATT-TW-EV-003,004</x:v>
      </x:c>
      <x:c r="H4" s="142"/>
      <x:c r="I4" s="143"/>
    </x:row>
    <x:row r="5">
      <x:c r="A5" s="144"/>
      <x:c r="B5" s="145"/>
      <x:c r="C5" s="145"/>
      <x:c r="D5" s="145"/>
      <x:c r="E5" s="145"/>
      <x:c r="F5" s="145"/>
      <x:c r="G5" s="145"/>
      <x:c r="H5" s="145"/>
      <x:c r="I5" s="146"/>
    </x:row>
    <x:row r="6">
      <x:c r="A6" s="144"/>
      <x:c r="B6" s="145"/>
      <x:c r="C6" s="145"/>
      <x:c r="D6" s="145"/>
      <x:c r="E6" s="145"/>
      <x:c r="F6" s="145"/>
      <x:c r="G6" s="145"/>
      <x:c r="H6" s="145"/>
      <x:c r="I6" s="146"/>
    </x:row>
    <x:row r="7">
      <x:c r="A7" s="144"/>
      <x:c r="B7" s="145"/>
      <x:c r="C7" s="145"/>
      <x:c r="D7" s="145"/>
      <x:c r="E7" s="145"/>
      <x:c r="F7" s="145"/>
      <x:c r="G7" s="145"/>
      <x:c r="H7" s="145"/>
      <x:c r="I7" s="146"/>
    </x:row>
    <x:row r="8">
      <x:c r="A8" s="144"/>
      <x:c r="B8" s="145"/>
      <x:c r="C8" s="145"/>
      <x:c r="D8" s="145"/>
      <x:c r="E8" s="145"/>
      <x:c r="F8" s="145"/>
      <x:c r="G8" s="145"/>
      <x:c r="H8" s="145"/>
      <x:c r="I8" s="146"/>
    </x:row>
    <x:row r="9">
      <x:c r="A9" s="144"/>
      <x:c r="B9" s="145"/>
      <x:c r="C9" s="145"/>
      <x:c r="D9" s="145"/>
      <x:c r="E9" s="145"/>
      <x:c r="F9" s="145"/>
      <x:c r="G9" s="145"/>
      <x:c r="H9" s="145"/>
      <x:c r="I9" s="146"/>
    </x:row>
    <x:row r="10">
      <x:c r="A10" s="144"/>
      <x:c r="B10" s="145"/>
      <x:c r="C10" s="145"/>
      <x:c r="D10" s="145"/>
      <x:c r="E10" s="145"/>
      <x:c r="F10" s="145"/>
      <x:c r="G10" s="145"/>
      <x:c r="H10" s="145"/>
      <x:c r="I10" s="146"/>
    </x:row>
    <x:row r="11">
      <x:c r="A11" s="147"/>
      <x:c r="B11" s="148"/>
      <x:c r="C11" s="148"/>
      <x:c r="D11" s="148"/>
      <x:c r="E11" s="148"/>
      <x:c r="F11" s="148"/>
      <x:c r="G11" s="148"/>
      <x:c r="H11" s="148"/>
      <x:c r="I11" s="149"/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38"/>
      <x:c r="B13" s="39"/>
      <x:c r="C13" s="39"/>
      <x:c r="D13" s="39"/>
      <x:c r="E13" s="39"/>
      <x:c r="F13" s="39"/>
      <x:c r="G13" s="39"/>
      <x:c r="H13" s="40"/>
    </x:row>
  </x:sheetData>
  <x:mergeCells>
    <x:mergeCell ref="A1:H1"/>
    <x:mergeCell ref="A2:H2"/>
    <x:mergeCell ref="A1:I1"/>
    <x:mergeCell ref="A2:I2"/>
    <x:mergeCell ref="A1:G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70" hidden="0" customWidth="1"/>
    <x:col min="4" max="4" width="22" hidden="0" customWidth="1"/>
    <x:col min="5" max="5" width="18" hidden="0" customWidth="1"/>
    <x:col min="6" max="6" width="24" hidden="0" customWidth="1"/>
    <x:col min="7" max="7" width="52" hidden="0" customWidth="1"/>
    <x:col min="8" max="8" width="14" hidden="0" customWidth="1"/>
    <x:col min="9" max="9" width="18" hidden="0" customWidth="1"/>
  </x:cols>
  <x:sheetData>
    <x:row r="1" ht="28" customHeight="1">
      <x:c r="A1" s="178" t="str">
        <x:v>07A_網戸適用条件｜アタッチ枠差分</x:v>
      </x:c>
      <x:c r="B1" s="178"/>
      <x:c r="C1" s="178"/>
      <x:c r="D1" s="178"/>
      <x:c r="E1" s="178"/>
      <x:c r="F1" s="178"/>
      <x:c r="G1" s="127"/>
      <x:c r="H1" s="127"/>
      <x:c r="I1" s="127"/>
    </x:row>
    <x:row r="3" ht="30" customHeight="1">
      <x:c r="A3" s="181" t="str">
        <x:v>rule_id</x:v>
      </x:c>
      <x:c r="B3" s="182" t="str">
        <x:v>scope</x:v>
      </x:c>
      <x:c r="C3" s="182" t="str">
        <x:v>condition</x:v>
      </x:c>
      <x:c r="D3" s="182" t="str">
        <x:v>result</x:v>
      </x:c>
      <x:c r="E3" s="182" t="str">
        <x:v>status</x:v>
      </x:c>
      <x:c r="F3" s="183" t="str">
        <x:v>evidence</x:v>
      </x:c>
      <x:c r="G3" s="142"/>
      <x:c r="H3" s="142"/>
      <x:c r="I3" s="143"/>
    </x:row>
    <x:row r="4">
      <x:c r="A4" s="184" t="str">
        <x:v>ATT-TW-SCR-001</x:v>
      </x:c>
      <x:c r="B4" s="185" t="str">
        <x:v>ALL_SUPPORTED</x:v>
      </x:c>
      <x:c r="C4" s="185" t="str">
        <x:v>TW_MASTER_SCREEN_RULE</x:v>
      </x:c>
      <x:c r="D4" s="185" t="str">
        <x:v>REFERENCE</x:v>
      </x:c>
      <x:c r="E4" s="185" t="str">
        <x:v>COMPLETE</x:v>
      </x:c>
      <x:c r="F4" s="186" t="str">
        <x:v>ATT-TW-EV-003</x:v>
      </x:c>
      <x:c r="G4" s="145"/>
      <x:c r="H4" s="145"/>
      <x:c r="I4" s="146"/>
    </x:row>
    <x:row r="5">
      <x:c r="A5" s="187" t="str">
        <x:v>ATT-TW-SCR-002</x:v>
      </x:c>
      <x:c r="B5" s="188" t="str">
        <x:v>FIX_IN</x:v>
      </x:c>
      <x:c r="C5" s="188" t="str">
        <x:v>TW正本で網戸なし</x:v>
      </x:c>
      <x:c r="D5" s="188" t="str">
        <x:v>REFERENCE</x:v>
      </x:c>
      <x:c r="E5" s="188" t="str">
        <x:v>COMPLETE</x:v>
      </x:c>
      <x:c r="F5" s="189" t="str">
        <x:v>ATT-TW-EV-003</x:v>
      </x:c>
      <x:c r="G5" s="145"/>
      <x:c r="H5" s="145"/>
      <x:c r="I5" s="146"/>
    </x:row>
    <x:row r="6">
      <x:c r="A6" s="144"/>
      <x:c r="B6" s="145"/>
      <x:c r="C6" s="145"/>
      <x:c r="D6" s="145"/>
      <x:c r="E6" s="145"/>
      <x:c r="F6" s="145"/>
      <x:c r="G6" s="145"/>
      <x:c r="H6" s="145"/>
      <x:c r="I6" s="146"/>
    </x:row>
    <x:row r="7">
      <x:c r="A7" s="144"/>
      <x:c r="B7" s="145"/>
      <x:c r="C7" s="145"/>
      <x:c r="D7" s="145"/>
      <x:c r="E7" s="145"/>
      <x:c r="F7" s="145"/>
      <x:c r="G7" s="145"/>
      <x:c r="H7" s="145"/>
      <x:c r="I7" s="146"/>
    </x:row>
    <x:row r="8">
      <x:c r="A8" s="144"/>
      <x:c r="B8" s="145"/>
      <x:c r="C8" s="145"/>
      <x:c r="D8" s="145"/>
      <x:c r="E8" s="145"/>
      <x:c r="F8" s="145"/>
      <x:c r="G8" s="145"/>
      <x:c r="H8" s="145"/>
      <x:c r="I8" s="146"/>
    </x:row>
    <x:row r="9">
      <x:c r="A9" s="144"/>
      <x:c r="B9" s="145"/>
      <x:c r="C9" s="145"/>
      <x:c r="D9" s="145"/>
      <x:c r="E9" s="145"/>
      <x:c r="F9" s="145"/>
      <x:c r="G9" s="145"/>
      <x:c r="H9" s="145"/>
      <x:c r="I9" s="146"/>
    </x:row>
    <x:row r="10">
      <x:c r="A10" s="144"/>
      <x:c r="B10" s="145"/>
      <x:c r="C10" s="145"/>
      <x:c r="D10" s="145"/>
      <x:c r="E10" s="145"/>
      <x:c r="F10" s="145"/>
      <x:c r="G10" s="145"/>
      <x:c r="H10" s="145"/>
      <x:c r="I10" s="146"/>
    </x:row>
    <x:row r="11">
      <x:c r="A11" s="144"/>
      <x:c r="B11" s="145"/>
      <x:c r="C11" s="145"/>
      <x:c r="D11" s="145"/>
      <x:c r="E11" s="145"/>
      <x:c r="F11" s="145"/>
      <x:c r="G11" s="145"/>
      <x:c r="H11" s="145"/>
      <x:c r="I11" s="146"/>
    </x:row>
    <x:row r="12">
      <x:c r="A12" s="144"/>
      <x:c r="B12" s="145"/>
      <x:c r="C12" s="145"/>
      <x:c r="D12" s="145"/>
      <x:c r="E12" s="145"/>
      <x:c r="F12" s="145"/>
      <x:c r="G12" s="145"/>
      <x:c r="H12" s="145"/>
      <x:c r="I12" s="146"/>
    </x:row>
    <x:row r="13">
      <x:c r="A13" s="147"/>
      <x:c r="B13" s="148"/>
      <x:c r="C13" s="148"/>
      <x:c r="D13" s="148"/>
      <x:c r="E13" s="148"/>
      <x:c r="F13" s="148"/>
      <x:c r="G13" s="148"/>
      <x:c r="H13" s="148"/>
      <x:c r="I13" s="149"/>
    </x:row>
  </x:sheetData>
  <x:mergeCells>
    <x:mergeCell ref="A1:H1"/>
    <x:mergeCell ref="A1:I1"/>
    <x:mergeCell ref="A1:F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4" hidden="0" customWidth="1"/>
    <x:col min="4" max="4" width="16" hidden="0" customWidth="1"/>
    <x:col min="5" max="5" width="92" hidden="0" customWidth="1"/>
    <x:col min="6" max="6" width="18" hidden="0" customWidth="1"/>
    <x:col min="7" max="7" width="24" hidden="0" customWidth="1"/>
    <x:col min="8" max="8" width="18" hidden="0" customWidth="1"/>
  </x:cols>
  <x:sheetData>
    <x:row r="1" ht="28" customHeight="1">
      <x:c r="A1" s="178" t="str">
        <x:v>08_ガラス｜TW正本参照</x:v>
      </x:c>
      <x:c r="B1" s="178"/>
      <x:c r="C1" s="178"/>
      <x:c r="D1" s="178"/>
      <x:c r="E1" s="178"/>
      <x:c r="F1" s="178"/>
      <x:c r="G1" s="178"/>
      <x:c r="H1" s="127"/>
    </x:row>
    <x:row r="2" ht="34" customHeight="1">
      <x:c r="A2" s="130"/>
      <x:c r="B2" s="130"/>
      <x:c r="C2" s="130"/>
      <x:c r="D2" s="130"/>
      <x:c r="E2" s="130"/>
      <x:c r="F2" s="130"/>
      <x:c r="G2" s="130"/>
      <x:c r="H2" s="130"/>
    </x:row>
    <x:row r="3">
      <x:c r="A3" s="181" t="str">
        <x:v>record_id</x:v>
      </x:c>
      <x:c r="B3" s="182" t="str">
        <x:v>source</x:v>
      </x:c>
      <x:c r="C3" s="182" t="str">
        <x:v>scope</x:v>
      </x:c>
      <x:c r="D3" s="182" t="str">
        <x:v>local_copy</x:v>
      </x:c>
      <x:c r="E3" s="182" t="str">
        <x:v>restriction</x:v>
      </x:c>
      <x:c r="F3" s="182" t="str">
        <x:v>status</x:v>
      </x:c>
      <x:c r="G3" s="183" t="str">
        <x:v>evidence</x:v>
      </x:c>
    </x:row>
    <x:row r="4" ht="30" customHeight="1">
      <x:c r="A4" s="217" t="str">
        <x:v>ATT-TW-GLASS-REF</x:v>
      </x:c>
      <x:c r="B4" s="218" t="str">
        <x:v>TW_MASTER</x:v>
      </x:c>
      <x:c r="C4" s="218" t="str">
        <x:v>referenced_window_id</x:v>
      </x:c>
      <x:c r="D4" s="218" t="str">
        <x:v>NO</x:v>
      </x:c>
      <x:c r="E4" s="218" t="str">
        <x:v>TW正本のガラス・ガス・スペーサーを使用。アタッチ枠基本図はグレモン/アルゴン例</x:v>
      </x:c>
      <x:c r="F4" s="218" t="str">
        <x:v>COMPLETE</x:v>
      </x:c>
      <x:c r="G4" s="219" t="str">
        <x:v>ATT-TW-EV-003,006</x:v>
      </x:c>
      <x:c r="H4" s="143"/>
    </x:row>
    <x:row r="5">
      <x:c r="A5" s="144"/>
      <x:c r="B5" s="145"/>
      <x:c r="C5" s="145"/>
      <x:c r="D5" s="145"/>
      <x:c r="E5" s="145"/>
      <x:c r="F5" s="145"/>
      <x:c r="G5" s="145"/>
      <x:c r="H5" s="146"/>
    </x:row>
    <x:row r="6">
      <x:c r="A6" s="144"/>
      <x:c r="B6" s="145"/>
      <x:c r="C6" s="145"/>
      <x:c r="D6" s="145"/>
      <x:c r="E6" s="145"/>
      <x:c r="F6" s="145"/>
      <x:c r="G6" s="145"/>
      <x:c r="H6" s="146"/>
    </x:row>
    <x:row r="7">
      <x:c r="A7" s="144"/>
      <x:c r="B7" s="145"/>
      <x:c r="C7" s="145"/>
      <x:c r="D7" s="145"/>
      <x:c r="E7" s="145"/>
      <x:c r="F7" s="145"/>
      <x:c r="G7" s="145"/>
      <x:c r="H7" s="146"/>
    </x:row>
    <x:row r="8">
      <x:c r="A8" s="144"/>
      <x:c r="B8" s="145"/>
      <x:c r="C8" s="145"/>
      <x:c r="D8" s="145"/>
      <x:c r="E8" s="145"/>
      <x:c r="F8" s="145"/>
      <x:c r="G8" s="145"/>
      <x:c r="H8" s="146"/>
    </x:row>
    <x:row r="9">
      <x:c r="A9" s="144"/>
      <x:c r="B9" s="145"/>
      <x:c r="C9" s="145"/>
      <x:c r="D9" s="145"/>
      <x:c r="E9" s="145"/>
      <x:c r="F9" s="145"/>
      <x:c r="G9" s="145"/>
      <x:c r="H9" s="146"/>
    </x:row>
    <x:row r="10">
      <x:c r="A10" s="144"/>
      <x:c r="B10" s="145"/>
      <x:c r="C10" s="145"/>
      <x:c r="D10" s="145"/>
      <x:c r="E10" s="145"/>
      <x:c r="F10" s="145"/>
      <x:c r="G10" s="145"/>
      <x:c r="H10" s="146"/>
    </x:row>
    <x:row r="11">
      <x:c r="A11" s="147"/>
      <x:c r="B11" s="148"/>
      <x:c r="C11" s="148"/>
      <x:c r="D11" s="148"/>
      <x:c r="E11" s="148"/>
      <x:c r="F11" s="148"/>
      <x:c r="G11" s="148"/>
      <x:c r="H11" s="149"/>
    </x:row>
  </x:sheetData>
  <x:mergeCells>
    <x:mergeCell ref="A1:H1"/>
    <x:mergeCell ref="A2:H2"/>
    <x:mergeCell ref="A1:G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74" hidden="0" customWidth="1"/>
    <x:col min="4" max="4" width="28" hidden="0" customWidth="1"/>
    <x:col min="5" max="5" width="30" hidden="0" customWidth="1"/>
    <x:col min="6" max="6" width="24" hidden="0" customWidth="1"/>
    <x:col min="7" max="7" width="14" hidden="0" customWidth="1"/>
    <x:col min="8" max="8" width="18" hidden="0" customWidth="1"/>
  </x:cols>
  <x:sheetData>
    <x:row r="1" ht="28" customHeight="1">
      <x:c r="A1" s="178" t="str">
        <x:v>08A_ガラス適用条件｜アタッチ枠差分</x:v>
      </x:c>
      <x:c r="B1" s="178"/>
      <x:c r="C1" s="178"/>
      <x:c r="D1" s="178"/>
      <x:c r="E1" s="178"/>
      <x:c r="F1" s="178"/>
      <x:c r="G1" s="127"/>
      <x:c r="H1" s="127"/>
    </x:row>
    <x:row r="3" ht="30" customHeight="1">
      <x:c r="A3" s="181" t="str">
        <x:v>rule_id</x:v>
      </x:c>
      <x:c r="B3" s="182" t="str">
        <x:v>scope</x:v>
      </x:c>
      <x:c r="C3" s="182" t="str">
        <x:v>condition</x:v>
      </x:c>
      <x:c r="D3" s="182" t="str">
        <x:v>result</x:v>
      </x:c>
      <x:c r="E3" s="182" t="str">
        <x:v>status</x:v>
      </x:c>
      <x:c r="F3" s="183" t="str">
        <x:v>evidence</x:v>
      </x:c>
      <x:c r="G3" s="142"/>
      <x:c r="H3" s="143"/>
    </x:row>
    <x:row r="4">
      <x:c r="A4" s="184" t="str">
        <x:v>ATT-TW-GL-001</x:v>
      </x:c>
      <x:c r="B4" s="185" t="str">
        <x:v>ALL_SUPPORTED</x:v>
      </x:c>
      <x:c r="C4" s="185" t="str">
        <x:v>TW_MASTER_GLASS_RULE</x:v>
      </x:c>
      <x:c r="D4" s="185" t="str">
        <x:v>REFERENCE</x:v>
      </x:c>
      <x:c r="E4" s="185" t="str">
        <x:v>COMPLETE</x:v>
      </x:c>
      <x:c r="F4" s="186" t="str">
        <x:v>ATT-TW-EV-003</x:v>
      </x:c>
      <x:c r="G4" s="145"/>
      <x:c r="H4" s="146"/>
    </x:row>
    <x:row r="5">
      <x:c r="A5" s="187" t="str">
        <x:v>ATT-TW-GL-002</x:v>
      </x:c>
      <x:c r="B5" s="188" t="str">
        <x:v>SPECIAL_SIZE</x:v>
      </x:c>
      <x:c r="C5" s="188" t="str">
        <x:v>glass_area/load/wind restriction</x:v>
      </x:c>
      <x:c r="D5" s="188" t="str">
        <x:v>EXTERNAL_CHECK</x:v>
      </x:c>
      <x:c r="E5" s="188" t="str">
        <x:v>COMPLETE_WITH_EXTERNAL_CHECK</x:v>
      </x:c>
      <x:c r="F5" s="189" t="str">
        <x:v>ATT-TW-EV-001,003,015</x:v>
      </x:c>
      <x:c r="G5" s="145"/>
      <x:c r="H5" s="146"/>
    </x:row>
    <x:row r="6">
      <x:c r="A6" s="144"/>
      <x:c r="B6" s="145"/>
      <x:c r="C6" s="145"/>
      <x:c r="D6" s="145"/>
      <x:c r="E6" s="145"/>
      <x:c r="F6" s="145"/>
      <x:c r="G6" s="145"/>
      <x:c r="H6" s="146"/>
    </x:row>
    <x:row r="7">
      <x:c r="A7" s="144"/>
      <x:c r="B7" s="145"/>
      <x:c r="C7" s="145"/>
      <x:c r="D7" s="145"/>
      <x:c r="E7" s="145"/>
      <x:c r="F7" s="145"/>
      <x:c r="G7" s="145"/>
      <x:c r="H7" s="146"/>
    </x:row>
    <x:row r="8">
      <x:c r="A8" s="144"/>
      <x:c r="B8" s="145"/>
      <x:c r="C8" s="145"/>
      <x:c r="D8" s="145"/>
      <x:c r="E8" s="145"/>
      <x:c r="F8" s="145"/>
      <x:c r="G8" s="145"/>
      <x:c r="H8" s="146"/>
    </x:row>
    <x:row r="9">
      <x:c r="A9" s="144"/>
      <x:c r="B9" s="145"/>
      <x:c r="C9" s="145"/>
      <x:c r="D9" s="145"/>
      <x:c r="E9" s="145"/>
      <x:c r="F9" s="145"/>
      <x:c r="G9" s="145"/>
      <x:c r="H9" s="146"/>
    </x:row>
    <x:row r="10">
      <x:c r="A10" s="144"/>
      <x:c r="B10" s="145"/>
      <x:c r="C10" s="145"/>
      <x:c r="D10" s="145"/>
      <x:c r="E10" s="145"/>
      <x:c r="F10" s="145"/>
      <x:c r="G10" s="145"/>
      <x:c r="H10" s="146"/>
    </x:row>
    <x:row r="11">
      <x:c r="A11" s="144"/>
      <x:c r="B11" s="145"/>
      <x:c r="C11" s="145"/>
      <x:c r="D11" s="145"/>
      <x:c r="E11" s="145"/>
      <x:c r="F11" s="145"/>
      <x:c r="G11" s="145"/>
      <x:c r="H11" s="146"/>
    </x:row>
    <x:row r="12">
      <x:c r="A12" s="144"/>
      <x:c r="B12" s="145"/>
      <x:c r="C12" s="145"/>
      <x:c r="D12" s="145"/>
      <x:c r="E12" s="145"/>
      <x:c r="F12" s="145"/>
      <x:c r="G12" s="145"/>
      <x:c r="H12" s="146"/>
    </x:row>
    <x:row r="13">
      <x:c r="A13" s="144"/>
      <x:c r="B13" s="145"/>
      <x:c r="C13" s="145"/>
      <x:c r="D13" s="145"/>
      <x:c r="E13" s="145"/>
      <x:c r="F13" s="145"/>
      <x:c r="G13" s="145"/>
      <x:c r="H13" s="146"/>
    </x:row>
    <x:row r="14">
      <x:c r="A14" s="144"/>
      <x:c r="B14" s="145"/>
      <x:c r="C14" s="145"/>
      <x:c r="D14" s="145"/>
      <x:c r="E14" s="145"/>
      <x:c r="F14" s="145"/>
      <x:c r="G14" s="145"/>
      <x:c r="H14" s="146"/>
    </x:row>
    <x:row r="15">
      <x:c r="A15" s="144"/>
      <x:c r="B15" s="145"/>
      <x:c r="C15" s="145"/>
      <x:c r="D15" s="145"/>
      <x:c r="E15" s="145"/>
      <x:c r="F15" s="145"/>
      <x:c r="G15" s="145"/>
      <x:c r="H15" s="146"/>
    </x:row>
    <x:row r="16">
      <x:c r="A16" s="144"/>
      <x:c r="B16" s="145"/>
      <x:c r="C16" s="145"/>
      <x:c r="D16" s="145"/>
      <x:c r="E16" s="145"/>
      <x:c r="F16" s="145"/>
      <x:c r="G16" s="145"/>
      <x:c r="H16" s="146"/>
    </x:row>
    <x:row r="17">
      <x:c r="A17" s="144"/>
      <x:c r="B17" s="145"/>
      <x:c r="C17" s="145"/>
      <x:c r="D17" s="145"/>
      <x:c r="E17" s="145"/>
      <x:c r="F17" s="145"/>
      <x:c r="G17" s="145"/>
      <x:c r="H17" s="146"/>
    </x:row>
    <x:row r="18">
      <x:c r="A18" s="144"/>
      <x:c r="B18" s="145"/>
      <x:c r="C18" s="145"/>
      <x:c r="D18" s="145"/>
      <x:c r="E18" s="145"/>
      <x:c r="F18" s="145"/>
      <x:c r="G18" s="145"/>
      <x:c r="H18" s="146"/>
    </x:row>
    <x:row r="19">
      <x:c r="A19" s="144"/>
      <x:c r="B19" s="145"/>
      <x:c r="C19" s="145"/>
      <x:c r="D19" s="145"/>
      <x:c r="E19" s="145"/>
      <x:c r="F19" s="145"/>
      <x:c r="G19" s="145"/>
      <x:c r="H19" s="146"/>
    </x:row>
    <x:row r="20">
      <x:c r="A20" s="144"/>
      <x:c r="B20" s="145"/>
      <x:c r="C20" s="145"/>
      <x:c r="D20" s="145"/>
      <x:c r="E20" s="145"/>
      <x:c r="F20" s="145"/>
      <x:c r="G20" s="145"/>
      <x:c r="H20" s="146"/>
    </x:row>
    <x:row r="21">
      <x:c r="A21" s="144"/>
      <x:c r="B21" s="145"/>
      <x:c r="C21" s="145"/>
      <x:c r="D21" s="145"/>
      <x:c r="E21" s="145"/>
      <x:c r="F21" s="145"/>
      <x:c r="G21" s="145"/>
      <x:c r="H21" s="146"/>
    </x:row>
    <x:row r="22">
      <x:c r="A22" s="144"/>
      <x:c r="B22" s="145"/>
      <x:c r="C22" s="145"/>
      <x:c r="D22" s="145"/>
      <x:c r="E22" s="145"/>
      <x:c r="F22" s="145"/>
      <x:c r="G22" s="145"/>
      <x:c r="H22" s="146"/>
    </x:row>
    <x:row r="23">
      <x:c r="A23" s="144"/>
      <x:c r="B23" s="145"/>
      <x:c r="C23" s="145"/>
      <x:c r="D23" s="145"/>
      <x:c r="E23" s="145"/>
      <x:c r="F23" s="145"/>
      <x:c r="G23" s="145"/>
      <x:c r="H23" s="146"/>
    </x:row>
    <x:row r="24">
      <x:c r="A24" s="144"/>
      <x:c r="B24" s="145"/>
      <x:c r="C24" s="145"/>
      <x:c r="D24" s="145"/>
      <x:c r="E24" s="145"/>
      <x:c r="F24" s="145"/>
      <x:c r="G24" s="145"/>
      <x:c r="H24" s="146"/>
    </x:row>
    <x:row r="25">
      <x:c r="A25" s="144"/>
      <x:c r="B25" s="145"/>
      <x:c r="C25" s="145"/>
      <x:c r="D25" s="145"/>
      <x:c r="E25" s="145"/>
      <x:c r="F25" s="145"/>
      <x:c r="G25" s="145"/>
      <x:c r="H25" s="146"/>
    </x:row>
    <x:row r="26">
      <x:c r="A26" s="144"/>
      <x:c r="B26" s="145"/>
      <x:c r="C26" s="145"/>
      <x:c r="D26" s="145"/>
      <x:c r="E26" s="145"/>
      <x:c r="F26" s="145"/>
      <x:c r="G26" s="145"/>
      <x:c r="H26" s="146"/>
    </x:row>
    <x:row r="27">
      <x:c r="A27" s="144"/>
      <x:c r="B27" s="145"/>
      <x:c r="C27" s="145"/>
      <x:c r="D27" s="145"/>
      <x:c r="E27" s="145"/>
      <x:c r="F27" s="145"/>
      <x:c r="G27" s="145"/>
      <x:c r="H27" s="146"/>
    </x:row>
    <x:row r="28">
      <x:c r="A28" s="144"/>
      <x:c r="B28" s="145"/>
      <x:c r="C28" s="145"/>
      <x:c r="D28" s="145"/>
      <x:c r="E28" s="145"/>
      <x:c r="F28" s="145"/>
      <x:c r="G28" s="145"/>
      <x:c r="H28" s="146"/>
    </x:row>
    <x:row r="29">
      <x:c r="A29" s="144"/>
      <x:c r="B29" s="145"/>
      <x:c r="C29" s="145"/>
      <x:c r="D29" s="145"/>
      <x:c r="E29" s="145"/>
      <x:c r="F29" s="145"/>
      <x:c r="G29" s="145"/>
      <x:c r="H29" s="146"/>
    </x:row>
    <x:row r="30">
      <x:c r="A30" s="144"/>
      <x:c r="B30" s="145"/>
      <x:c r="C30" s="145"/>
      <x:c r="D30" s="145"/>
      <x:c r="E30" s="145"/>
      <x:c r="F30" s="145"/>
      <x:c r="G30" s="145"/>
      <x:c r="H30" s="146"/>
    </x:row>
    <x:row r="31">
      <x:c r="A31" s="144"/>
      <x:c r="B31" s="145"/>
      <x:c r="C31" s="145"/>
      <x:c r="D31" s="145"/>
      <x:c r="E31" s="145"/>
      <x:c r="F31" s="145"/>
      <x:c r="G31" s="145"/>
      <x:c r="H31" s="146"/>
    </x:row>
    <x:row r="32">
      <x:c r="A32" s="144"/>
      <x:c r="B32" s="145"/>
      <x:c r="C32" s="145"/>
      <x:c r="D32" s="145"/>
      <x:c r="E32" s="145"/>
      <x:c r="F32" s="145"/>
      <x:c r="G32" s="145"/>
      <x:c r="H32" s="146"/>
    </x:row>
    <x:row r="33">
      <x:c r="A33" s="144"/>
      <x:c r="B33" s="145"/>
      <x:c r="C33" s="145"/>
      <x:c r="D33" s="145"/>
      <x:c r="E33" s="145"/>
      <x:c r="F33" s="145"/>
      <x:c r="G33" s="145"/>
      <x:c r="H33" s="146"/>
    </x:row>
    <x:row r="34">
      <x:c r="A34" s="144"/>
      <x:c r="B34" s="145"/>
      <x:c r="C34" s="145"/>
      <x:c r="D34" s="145"/>
      <x:c r="E34" s="145"/>
      <x:c r="F34" s="145"/>
      <x:c r="G34" s="145"/>
      <x:c r="H34" s="146"/>
    </x:row>
    <x:row r="35">
      <x:c r="A35" s="144"/>
      <x:c r="B35" s="145"/>
      <x:c r="C35" s="145"/>
      <x:c r="D35" s="145"/>
      <x:c r="E35" s="145"/>
      <x:c r="F35" s="145"/>
      <x:c r="G35" s="145"/>
      <x:c r="H35" s="146"/>
    </x:row>
    <x:row r="36">
      <x:c r="A36" s="144"/>
      <x:c r="B36" s="145"/>
      <x:c r="C36" s="145"/>
      <x:c r="D36" s="145"/>
      <x:c r="E36" s="145"/>
      <x:c r="F36" s="145"/>
      <x:c r="G36" s="145"/>
      <x:c r="H36" s="146"/>
    </x:row>
    <x:row r="37">
      <x:c r="A37" s="144"/>
      <x:c r="B37" s="145"/>
      <x:c r="C37" s="145"/>
      <x:c r="D37" s="145"/>
      <x:c r="E37" s="145"/>
      <x:c r="F37" s="145"/>
      <x:c r="G37" s="145"/>
      <x:c r="H37" s="146"/>
    </x:row>
    <x:row r="38">
      <x:c r="A38" s="144"/>
      <x:c r="B38" s="145"/>
      <x:c r="C38" s="145"/>
      <x:c r="D38" s="145"/>
      <x:c r="E38" s="145"/>
      <x:c r="F38" s="145"/>
      <x:c r="G38" s="145"/>
      <x:c r="H38" s="146"/>
    </x:row>
    <x:row r="39">
      <x:c r="A39" s="144"/>
      <x:c r="B39" s="145"/>
      <x:c r="C39" s="145"/>
      <x:c r="D39" s="145"/>
      <x:c r="E39" s="145"/>
      <x:c r="F39" s="145"/>
      <x:c r="G39" s="145"/>
      <x:c r="H39" s="146"/>
    </x:row>
    <x:row r="40">
      <x:c r="A40" s="144"/>
      <x:c r="B40" s="145"/>
      <x:c r="C40" s="145"/>
      <x:c r="D40" s="145"/>
      <x:c r="E40" s="145"/>
      <x:c r="F40" s="145"/>
      <x:c r="G40" s="145"/>
      <x:c r="H40" s="146"/>
    </x:row>
    <x:row r="41">
      <x:c r="A41" s="144"/>
      <x:c r="B41" s="145"/>
      <x:c r="C41" s="145"/>
      <x:c r="D41" s="145"/>
      <x:c r="E41" s="145"/>
      <x:c r="F41" s="145"/>
      <x:c r="G41" s="145"/>
      <x:c r="H41" s="146"/>
    </x:row>
    <x:row r="42">
      <x:c r="A42" s="147"/>
      <x:c r="B42" s="148"/>
      <x:c r="C42" s="148"/>
      <x:c r="D42" s="148"/>
      <x:c r="E42" s="148"/>
      <x:c r="F42" s="148"/>
      <x:c r="G42" s="148"/>
      <x:c r="H42" s="149"/>
    </x:row>
  </x:sheetData>
  <x:mergeCells>
    <x:mergeCell ref="A1:H1"/>
    <x:mergeCell ref="A1:F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6" hidden="0" customWidth="1"/>
    <x:col min="3" max="3" width="24" hidden="0" customWidth="1"/>
    <x:col min="4" max="4" width="30" hidden="0" customWidth="1"/>
    <x:col min="5" max="5" width="76" hidden="0" customWidth="1"/>
    <x:col min="6" max="6" width="30" hidden="0" customWidth="1"/>
    <x:col min="7" max="7" width="24" hidden="0" customWidth="1"/>
    <x:col min="8" max="8" width="16" hidden="0" customWidth="1"/>
  </x:cols>
  <x:sheetData>
    <x:row r="1" ht="28" customHeight="1">
      <x:c r="A1" s="178" t="str">
        <x:v>09_その他OP｜アタッチ枠TW</x:v>
      </x:c>
      <x:c r="B1" s="178"/>
      <x:c r="C1" s="178"/>
      <x:c r="D1" s="178"/>
      <x:c r="E1" s="178"/>
      <x:c r="F1" s="178"/>
      <x:c r="G1" s="178"/>
      <x:c r="H1" s="4"/>
    </x:row>
    <x:row r="3" ht="30" customHeight="1">
      <x:c r="A3" s="181" t="str">
        <x:v>option_id</x:v>
      </x:c>
      <x:c r="B3" s="182" t="str">
        <x:v>公式名称</x:v>
      </x:c>
      <x:c r="C3" s="182" t="str">
        <x:v>分類</x:v>
      </x:c>
      <x:c r="D3" s="182" t="str">
        <x:v>selection_role</x:v>
      </x:c>
      <x:c r="E3" s="182" t="str">
        <x:v>主要条件</x:v>
      </x:c>
      <x:c r="F3" s="182" t="str">
        <x:v>status</x:v>
      </x:c>
      <x:c r="G3" s="183" t="str">
        <x:v>evidence</x:v>
      </x:c>
      <x:c r="H3" s="34"/>
    </x:row>
    <x:row r="4">
      <x:c r="A4" s="184" t="str">
        <x:v>ATT-TW-OP-SMALL-ARM</x:v>
      </x:c>
      <x:c r="B4" s="185" t="str">
        <x:v>小開口アーム</x:v>
      </x:c>
      <x:c r="C4" s="185" t="str">
        <x:v>装飾窓安全</x:v>
      </x:c>
      <x:c r="D4" s="185" t="str">
        <x:v>USER_SELECT</x:v>
      </x:c>
      <x:c r="E4" s="185" t="str">
        <x:v>有償品対応表でアタッチTW設定あり</x:v>
      </x:c>
      <x:c r="F4" s="185" t="str">
        <x:v>COMPLETE</x:v>
      </x:c>
      <x:c r="G4" s="186" t="str">
        <x:v>ATT-TW-EV-013</x:v>
      </x:c>
      <x:c r="H4" s="37"/>
    </x:row>
    <x:row r="5">
      <x:c r="A5" s="184" t="str">
        <x:v>ATT-TW-OP-FIX-GROOVE</x:v>
      </x:c>
      <x:c r="B5" s="185" t="str">
        <x:v>固定式網戸溝カバー</x:v>
      </x:c>
      <x:c r="C5" s="185" t="str">
        <x:v>網戸部材</x:v>
      </x:c>
      <x:c r="D5" s="185" t="str">
        <x:v>CONDITIONAL_REQUIRED</x:v>
      </x:c>
      <x:c r="E5" s="185" t="str">
        <x:v>該当窓種/網戸なし条件</x:v>
      </x:c>
      <x:c r="F5" s="185" t="str">
        <x:v>COMPLETE</x:v>
      </x:c>
      <x:c r="G5" s="186" t="str">
        <x:v>ATT-TW-EV-013</x:v>
      </x:c>
      <x:c r="H5" s="37"/>
    </x:row>
    <x:row r="6">
      <x:c r="A6" s="184" t="str">
        <x:v>ATT-TW-OP-MOVABLE-GROOVE</x:v>
      </x:c>
      <x:c r="B6" s="185" t="str">
        <x:v>可動式網戸溝カバー</x:v>
      </x:c>
      <x:c r="C6" s="185" t="str">
        <x:v>網戸部材</x:v>
      </x:c>
      <x:c r="D6" s="185" t="str">
        <x:v>CONDITIONAL_REQUIRED</x:v>
      </x:c>
      <x:c r="E6" s="185" t="str">
        <x:v>該当窓種条件</x:v>
      </x:c>
      <x:c r="F6" s="185" t="str">
        <x:v>COMPLETE</x:v>
      </x:c>
      <x:c r="G6" s="186" t="str">
        <x:v>ATT-TW-EV-013</x:v>
      </x:c>
      <x:c r="H6" s="37"/>
    </x:row>
    <x:row r="7">
      <x:c r="A7" s="184" t="str">
        <x:v>ATT-TW-OP-POST-BEAD</x:v>
      </x:c>
      <x:c r="B7" s="185" t="str">
        <x:v>後付ビード</x:v>
      </x:c>
      <x:c r="C7" s="185" t="str">
        <x:v>ガラス部材</x:v>
      </x:c>
      <x:c r="D7" s="185" t="str">
        <x:v>CONDITIONAL_REQUIRED</x:v>
      </x:c>
      <x:c r="E7" s="185" t="str">
        <x:v>該当ガラス/押縁条件</x:v>
      </x:c>
      <x:c r="F7" s="185" t="str">
        <x:v>COMPLETE</x:v>
      </x:c>
      <x:c r="G7" s="186" t="str">
        <x:v>ATT-TW-EV-013</x:v>
      </x:c>
      <x:c r="H7" s="37"/>
    </x:row>
    <x:row r="8">
      <x:c r="A8" s="184" t="str">
        <x:v>ATT-TW-OP-MULLION</x:v>
      </x:c>
      <x:c r="B8" s="185" t="str">
        <x:v>連窓方立</x:v>
      </x:c>
      <x:c r="C8" s="185" t="str">
        <x:v>構造部材</x:v>
      </x:c>
      <x:c r="D8" s="185" t="str">
        <x:v>CONDITIONAL_REQUIRED</x:v>
      </x:c>
      <x:c r="E8" s="185" t="str">
        <x:v>opening_configuration=COUPLED</x:v>
      </x:c>
      <x:c r="F8" s="185" t="str">
        <x:v>COMPLETE</x:v>
      </x:c>
      <x:c r="G8" s="186" t="str">
        <x:v>ATT-TW-EV-004,013</x:v>
      </x:c>
      <x:c r="H8" s="37"/>
    </x:row>
    <x:row r="9">
      <x:c r="A9" s="184" t="str">
        <x:v>ATT-TW-OP-TRANSOM</x:v>
      </x:c>
      <x:c r="B9" s="185" t="str">
        <x:v>段窓無目</x:v>
      </x:c>
      <x:c r="C9" s="185" t="str">
        <x:v>構造部材</x:v>
      </x:c>
      <x:c r="D9" s="185" t="str">
        <x:v>CONDITIONAL_REQUIRED</x:v>
      </x:c>
      <x:c r="E9" s="185" t="str">
        <x:v>opening_configuration=STACKED</x:v>
      </x:c>
      <x:c r="F9" s="185" t="str">
        <x:v>COMPLETE_WITH_EXTERNAL_CHECK</x:v>
      </x:c>
      <x:c r="G9" s="186" t="str">
        <x:v>ATT-TW-EV-004,013,015</x:v>
      </x:c>
      <x:c r="H9" s="37"/>
    </x:row>
    <x:row r="10">
      <x:c r="A10" s="184" t="str">
        <x:v>ATT-TW-OP-AIRTIGHT</x:v>
      </x:c>
      <x:c r="B10" s="185" t="str">
        <x:v>気密テープ</x:v>
      </x:c>
      <x:c r="C10" s="185" t="str">
        <x:v>施工部材</x:v>
      </x:c>
      <x:c r="D10" s="185" t="str">
        <x:v>SYSTEM_REQUIRED</x:v>
      </x:c>
      <x:c r="E10" s="185" t="str">
        <x:v>基本納まり図</x:v>
      </x:c>
      <x:c r="F10" s="185" t="str">
        <x:v>COMPLETE</x:v>
      </x:c>
      <x:c r="G10" s="186" t="str">
        <x:v>ATT-TW-EV-006,014</x:v>
      </x:c>
      <x:c r="H10" s="37"/>
    </x:row>
    <x:row r="11">
      <x:c r="A11" s="184" t="str">
        <x:v>ATT-TW-OP-ANGLE-COVER</x:v>
      </x:c>
      <x:c r="B11" s="185" t="str">
        <x:v>アングルカバー</x:v>
      </x:c>
      <x:c r="C11" s="185" t="str">
        <x:v>室内部材</x:v>
      </x:c>
      <x:c r="D11" s="185" t="str">
        <x:v>USER_SELECT</x:v>
      </x:c>
      <x:c r="E11" s="185" t="str">
        <x:v>基本納まり図/部材一覧</x:v>
      </x:c>
      <x:c r="F11" s="185" t="str">
        <x:v>COMPLETE</x:v>
      </x:c>
      <x:c r="G11" s="186" t="str">
        <x:v>ATT-TW-EV-006,014</x:v>
      </x:c>
      <x:c r="H11" s="37"/>
    </x:row>
    <x:row r="12">
      <x:c r="A12" s="184" t="str">
        <x:v>ATT-TW-OP-TRIM</x:v>
      </x:c>
      <x:c r="B12" s="185" t="str">
        <x:v>見切材</x:v>
      </x:c>
      <x:c r="C12" s="185" t="str">
        <x:v>室内部材</x:v>
      </x:c>
      <x:c r="D12" s="185" t="str">
        <x:v>USER_SELECT</x:v>
      </x:c>
      <x:c r="E12" s="185" t="str">
        <x:v>基本納まり図/部材一覧</x:v>
      </x:c>
      <x:c r="F12" s="185" t="str">
        <x:v>COMPLETE</x:v>
      </x:c>
      <x:c r="G12" s="186" t="str">
        <x:v>ATT-TW-EV-006,014</x:v>
      </x:c>
      <x:c r="H12" s="37"/>
    </x:row>
    <x:row r="13">
      <x:c r="A13" s="184" t="str">
        <x:v>ATT-TW-OP-ADJ-SPACER</x:v>
      </x:c>
      <x:c r="B13" s="185" t="str">
        <x:v>施工調整スペーサー</x:v>
      </x:c>
      <x:c r="C13" s="185" t="str">
        <x:v>施工部材</x:v>
      </x:c>
      <x:c r="D13" s="185" t="str">
        <x:v>CONDITIONAL_REQUIRED</x:v>
      </x:c>
      <x:c r="E13" s="185" t="str">
        <x:v>枠調整/下枠立上り差分</x:v>
      </x:c>
      <x:c r="F13" s="185" t="str">
        <x:v>COMPLETE</x:v>
      </x:c>
      <x:c r="G13" s="186" t="str">
        <x:v>ATT-TW-EV-006,010,014</x:v>
      </x:c>
      <x:c r="H13" s="37"/>
    </x:row>
    <x:row r="14">
      <x:c r="A14" s="184" t="str">
        <x:v>ATT-TW-OP-CONNECT-SCREW</x:v>
      </x:c>
      <x:c r="B14" s="185" t="str">
        <x:v>アタッチ枠連結ねじ</x:v>
      </x:c>
      <x:c r="C14" s="185" t="str">
        <x:v>施工部材</x:v>
      </x:c>
      <x:c r="D14" s="185" t="str">
        <x:v>CONDITIONAL_REQUIRED</x:v>
      </x:c>
      <x:c r="E14" s="185" t="str">
        <x:v>TW別途手配時必須</x:v>
      </x:c>
      <x:c r="F14" s="185" t="str">
        <x:v>COMPLETE</x:v>
      </x:c>
      <x:c r="G14" s="186" t="str">
        <x:v>ATT-TW-EV-004,014</x:v>
      </x:c>
      <x:c r="H14" s="40"/>
    </x:row>
    <x:row r="15">
      <x:c r="A15" s="184" t="str">
        <x:v>ATT-TW-OP-SILL-BRACKET</x:v>
      </x:c>
      <x:c r="B15" s="185" t="str">
        <x:v>下枠補強金具</x:v>
      </x:c>
      <x:c r="C15" s="185" t="str">
        <x:v>施工部材</x:v>
      </x:c>
      <x:c r="D15" s="185" t="str">
        <x:v>SYSTEM_REQUIRED</x:v>
      </x:c>
      <x:c r="E15" s="185" t="str">
        <x:v>下枠立上り29～48mm標準対応</x:v>
      </x:c>
      <x:c r="F15" s="185" t="str">
        <x:v>COMPLETE</x:v>
      </x:c>
      <x:c r="G15" s="186" t="str">
        <x:v>ATT-TW-EV-010</x:v>
      </x:c>
    </x:row>
    <x:row r="16">
      <x:c r="A16" s="187" t="str">
        <x:v>ATT-TW-OP-TW-NATIVE</x:v>
      </x:c>
      <x:c r="B16" s="188" t="str">
        <x:v>TW本体オプション</x:v>
      </x:c>
      <x:c r="C16" s="188" t="str">
        <x:v>REFERENCE</x:v>
      </x:c>
      <x:c r="D16" s="188" t="str">
        <x:v>REFERENCE_ONLY</x:v>
      </x:c>
      <x:c r="E16" s="188" t="str">
        <x:v>TW正本へ委譲</x:v>
      </x:c>
      <x:c r="F16" s="188" t="str">
        <x:v>COMPLETE</x:v>
      </x:c>
      <x:c r="G16" s="189" t="str">
        <x:v>ATT-TW-EV-003</x:v>
      </x:c>
    </x:row>
    <x:row r="17">
      <x:c r="A17" s="147"/>
      <x:c r="B17" s="148"/>
      <x:c r="C17" s="148"/>
      <x:c r="D17" s="148"/>
      <x:c r="E17" s="148"/>
      <x:c r="F17" s="149"/>
    </x:row>
  </x:sheetData>
  <x:mergeCells>
    <x:mergeCell ref="A1:H1"/>
    <x:mergeCell ref="A1:F1"/>
    <x:mergeCell ref="A1:G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28" hidden="0" customWidth="1"/>
    <x:col min="4" max="4" width="72" hidden="0" customWidth="1"/>
    <x:col min="5" max="5" width="66" hidden="0" customWidth="1"/>
    <x:col min="6" max="6" width="30" hidden="0" customWidth="1"/>
    <x:col min="7" max="7" width="24" hidden="0" customWidth="1"/>
    <x:col min="8" max="8" width="18" hidden="0" customWidth="1"/>
  </x:cols>
  <x:sheetData>
    <x:row r="1" ht="28" customHeight="1">
      <x:c r="A1" s="178" t="str">
        <x:v>09A_OP依存関係｜アタッチ枠TW</x:v>
      </x:c>
      <x:c r="B1" s="178"/>
      <x:c r="C1" s="178"/>
      <x:c r="D1" s="178"/>
      <x:c r="E1" s="178"/>
      <x:c r="F1" s="178"/>
      <x:c r="G1" s="178"/>
      <x:c r="H1" s="127"/>
    </x:row>
    <x:row r="3" ht="30" customHeight="1">
      <x:c r="A3" s="181" t="str">
        <x:v>dependency_id</x:v>
      </x:c>
      <x:c r="B3" s="182" t="str">
        <x:v>option_id</x:v>
      </x:c>
      <x:c r="C3" s="182" t="str">
        <x:v>relation</x:v>
      </x:c>
      <x:c r="D3" s="182" t="str">
        <x:v>condition/value</x:v>
      </x:c>
      <x:c r="E3" s="182" t="str">
        <x:v>action_note</x:v>
      </x:c>
      <x:c r="F3" s="182" t="str">
        <x:v>status</x:v>
      </x:c>
      <x:c r="G3" s="183" t="str">
        <x:v>evidence</x:v>
      </x:c>
      <x:c r="H3" s="143"/>
    </x:row>
    <x:row r="4">
      <x:c r="A4" s="184" t="str">
        <x:v>ATT-TW-OD-001</x:v>
      </x:c>
      <x:c r="B4" s="185" t="str">
        <x:v>ATT-TW-OP-CONNECT-SCREW</x:v>
      </x:c>
      <x:c r="C4" s="185" t="str">
        <x:v>REQUIRED_IF</x:v>
      </x:c>
      <x:c r="D4" s="185" t="str">
        <x:v>supply_mode=TW_SEPARATE</x:v>
      </x:c>
      <x:c r="E4" s="185" t="str">
        <x:v>自動追加</x:v>
      </x:c>
      <x:c r="F4" s="185" t="str">
        <x:v>COMPLETE</x:v>
      </x:c>
      <x:c r="G4" s="186" t="str">
        <x:v>ATT-TW-EV-004</x:v>
      </x:c>
      <x:c r="H4" s="146"/>
    </x:row>
    <x:row r="5">
      <x:c r="A5" s="184" t="str">
        <x:v>ATT-TW-OD-002</x:v>
      </x:c>
      <x:c r="B5" s="185" t="str">
        <x:v>ATT-TW-OP-MULLION</x:v>
      </x:c>
      <x:c r="C5" s="185" t="str">
        <x:v>REQUIRED_IF</x:v>
      </x:c>
      <x:c r="D5" s="185" t="str">
        <x:v>opening_configuration=COUPLED</x:v>
      </x:c>
      <x:c r="E5" s="185" t="str">
        <x:v>アタッチ枠側部材として追加</x:v>
      </x:c>
      <x:c r="F5" s="185" t="str">
        <x:v>COMPLETE</x:v>
      </x:c>
      <x:c r="G5" s="186" t="str">
        <x:v>ATT-TW-EV-004,013</x:v>
      </x:c>
      <x:c r="H5" s="146"/>
    </x:row>
    <x:row r="6">
      <x:c r="A6" s="184" t="str">
        <x:v>ATT-TW-OD-003</x:v>
      </x:c>
      <x:c r="B6" s="185" t="str">
        <x:v>ATT-TW-OP-TRANSOM</x:v>
      </x:c>
      <x:c r="C6" s="185" t="str">
        <x:v>REQUIRED_IF</x:v>
      </x:c>
      <x:c r="D6" s="185" t="str">
        <x:v>opening_configuration=STACKED</x:v>
      </x:c>
      <x:c r="E6" s="185" t="str">
        <x:v>アタッチ枠側部材として追加。特殊寸法は外部確認</x:v>
      </x:c>
      <x:c r="F6" s="185" t="str">
        <x:v>COMPLETE_WITH_EXTERNAL_CHECK</x:v>
      </x:c>
      <x:c r="G6" s="186" t="str">
        <x:v>ATT-TW-EV-004,013,015</x:v>
      </x:c>
      <x:c r="H6" s="146"/>
    </x:row>
    <x:row r="7">
      <x:c r="A7" s="184" t="str">
        <x:v>ATT-TW-OD-004</x:v>
      </x:c>
      <x:c r="B7" s="185" t="str">
        <x:v>ATT-TW-OP-ADJ-SPACER</x:v>
      </x:c>
      <x:c r="C7" s="185" t="str">
        <x:v>REQUIRED_IF</x:v>
      </x:c>
      <x:c r="D7" s="185" t="str">
        <x:v>lower_frame_rise outside 29..48 but spacer correction allowed</x:v>
      </x:c>
      <x:c r="E7" s="185" t="str">
        <x:v>発注寸法補正を伴う</x:v>
      </x:c>
      <x:c r="F7" s="185" t="str">
        <x:v>COMPLETE_WITH_EXTERNAL_CHECK</x:v>
      </x:c>
      <x:c r="G7" s="186" t="str">
        <x:v>ATT-TW-EV-010</x:v>
      </x:c>
      <x:c r="H7" s="146"/>
    </x:row>
    <x:row r="8">
      <x:c r="A8" s="187" t="str">
        <x:v>ATT-TW-OD-005</x:v>
      </x:c>
      <x:c r="B8" s="188" t="str">
        <x:v>ATT-TW-OP-TW-NATIVE</x:v>
      </x:c>
      <x:c r="C8" s="188" t="str">
        <x:v>REFERENCE</x:v>
      </x:c>
      <x:c r="D8" s="188" t="str">
        <x:v>referenced_window_id</x:v>
      </x:c>
      <x:c r="E8" s="188" t="str">
        <x:v>TW正本OPルールを適用</x:v>
      </x:c>
      <x:c r="F8" s="188" t="str">
        <x:v>COMPLETE</x:v>
      </x:c>
      <x:c r="G8" s="189" t="str">
        <x:v>ATT-TW-EV-003</x:v>
      </x:c>
      <x:c r="H8" s="146"/>
    </x:row>
    <x:row r="9">
      <x:c r="A9" s="144"/>
      <x:c r="B9" s="145"/>
      <x:c r="C9" s="145"/>
      <x:c r="D9" s="145"/>
      <x:c r="E9" s="145"/>
      <x:c r="F9" s="145"/>
      <x:c r="G9" s="145"/>
      <x:c r="H9" s="146"/>
    </x:row>
    <x:row r="10">
      <x:c r="A10" s="144"/>
      <x:c r="B10" s="145"/>
      <x:c r="C10" s="145"/>
      <x:c r="D10" s="145"/>
      <x:c r="E10" s="145"/>
      <x:c r="F10" s="145"/>
      <x:c r="G10" s="145"/>
      <x:c r="H10" s="146"/>
    </x:row>
    <x:row r="11">
      <x:c r="A11" s="144"/>
      <x:c r="B11" s="145"/>
      <x:c r="C11" s="145"/>
      <x:c r="D11" s="145"/>
      <x:c r="E11" s="145"/>
      <x:c r="F11" s="145"/>
      <x:c r="G11" s="145"/>
      <x:c r="H11" s="146"/>
    </x:row>
    <x:row r="12">
      <x:c r="A12" s="144"/>
      <x:c r="B12" s="145"/>
      <x:c r="C12" s="145"/>
      <x:c r="D12" s="145"/>
      <x:c r="E12" s="145"/>
      <x:c r="F12" s="145"/>
      <x:c r="G12" s="145"/>
      <x:c r="H12" s="146"/>
    </x:row>
    <x:row r="13">
      <x:c r="A13" s="144"/>
      <x:c r="B13" s="145"/>
      <x:c r="C13" s="145"/>
      <x:c r="D13" s="145"/>
      <x:c r="E13" s="145"/>
      <x:c r="F13" s="145"/>
      <x:c r="G13" s="145"/>
      <x:c r="H13" s="146"/>
    </x:row>
    <x:row r="14">
      <x:c r="A14" s="144"/>
      <x:c r="B14" s="145"/>
      <x:c r="C14" s="145"/>
      <x:c r="D14" s="145"/>
      <x:c r="E14" s="145"/>
      <x:c r="F14" s="145"/>
      <x:c r="G14" s="145"/>
      <x:c r="H14" s="146"/>
    </x:row>
    <x:row r="15">
      <x:c r="A15" s="147"/>
      <x:c r="B15" s="148"/>
      <x:c r="C15" s="148"/>
      <x:c r="D15" s="148"/>
      <x:c r="E15" s="148"/>
      <x:c r="F15" s="148"/>
      <x:c r="G15" s="148"/>
      <x:c r="H15" s="149"/>
    </x:row>
  </x:sheetData>
  <x:mergeCells>
    <x:mergeCell ref="A1:H1"/>
    <x:mergeCell ref="A1:G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42" hidden="0" customWidth="1"/>
    <x:col min="4" max="4" width="30" hidden="0" customWidth="1"/>
    <x:col min="5" max="5" width="64" hidden="0" customWidth="1"/>
    <x:col min="6" max="6" width="30" hidden="0" customWidth="1"/>
    <x:col min="7" max="7" width="24" hidden="0" customWidth="1"/>
  </x:cols>
  <x:sheetData>
    <x:row r="1" ht="28" customHeight="1">
      <x:c r="A1" s="178" t="str">
        <x:v>10_適用条件｜アタッチ枠TW</x:v>
      </x:c>
      <x:c r="B1" s="178"/>
      <x:c r="C1" s="178"/>
      <x:c r="D1" s="178"/>
      <x:c r="E1" s="178"/>
      <x:c r="F1" s="178"/>
      <x:c r="G1" s="178"/>
    </x:row>
    <x:row r="3" ht="30" customHeight="1">
      <x:c r="A3" s="181" t="str">
        <x:v>rule_id</x:v>
      </x:c>
      <x:c r="B3" s="182" t="str">
        <x:v>condition_type</x:v>
      </x:c>
      <x:c r="C3" s="182" t="str">
        <x:v>value</x:v>
      </x:c>
      <x:c r="D3" s="182" t="str">
        <x:v>result</x:v>
      </x:c>
      <x:c r="E3" s="182" t="str">
        <x:v>action</x:v>
      </x:c>
      <x:c r="F3" s="182" t="str">
        <x:v>status</x:v>
      </x:c>
      <x:c r="G3" s="183" t="str">
        <x:v>evidence</x:v>
      </x:c>
    </x:row>
    <x:row r="4">
      <x:c r="A4" s="184" t="str">
        <x:v>ATT-TW-AP-STRUCT-WOOD</x:v>
      </x:c>
      <x:c r="B4" s="185" t="str">
        <x:v>building_structure</x:v>
      </x:c>
      <x:c r="C4" s="185" t="str">
        <x:v>木造</x:v>
      </x:c>
      <x:c r="D4" s="185" t="str">
        <x:v>AVAILABLE</x:v>
      </x:c>
      <x:c r="E4" s="185" t="str">
        <x:v>通常候補</x:v>
      </x:c>
      <x:c r="F4" s="185" t="str">
        <x:v>COMPLETE</x:v>
      </x:c>
      <x:c r="G4" s="186" t="str">
        <x:v>ATT-TW-EV-007</x:v>
      </x:c>
    </x:row>
    <x:row r="5">
      <x:c r="A5" s="184" t="str">
        <x:v>ATT-TW-AP-STRUCT-RC</x:v>
      </x:c>
      <x:c r="B5" s="185" t="str">
        <x:v>building_structure</x:v>
      </x:c>
      <x:c r="C5" s="185" t="str">
        <x:v>RC造3階以下</x:v>
      </x:c>
      <x:c r="D5" s="185" t="str">
        <x:v>CONDITIONAL</x:v>
      </x:c>
      <x:c r="E5" s="185" t="str">
        <x:v>取付ねじを固定できる適切な木下地が必要</x:v>
      </x:c>
      <x:c r="F5" s="185" t="str">
        <x:v>COMPLETE</x:v>
      </x:c>
      <x:c r="G5" s="186" t="str">
        <x:v>ATT-TW-EV-007</x:v>
      </x:c>
    </x:row>
    <x:row r="6">
      <x:c r="A6" s="184" t="str">
        <x:v>ATT-TW-AP-STRUCT-ALC</x:v>
      </x:c>
      <x:c r="B6" s="185" t="str">
        <x:v>building_structure</x:v>
      </x:c>
      <x:c r="C6" s="185" t="str">
        <x:v>ALC造</x:v>
      </x:c>
      <x:c r="D6" s="185" t="str">
        <x:v>UNAVAILABLE</x:v>
      </x:c>
      <x:c r="E6" s="185" t="str">
        <x:v>HIDE/REJECT</x:v>
      </x:c>
      <x:c r="F6" s="185" t="str">
        <x:v>COMPLETE</x:v>
      </x:c>
      <x:c r="G6" s="186" t="str">
        <x:v>ATT-TW-EV-007</x:v>
      </x:c>
    </x:row>
    <x:row r="7">
      <x:c r="A7" s="184" t="str">
        <x:v>ATT-TW-AP-STRUCT-STEEL</x:v>
      </x:c>
      <x:c r="B7" s="185" t="str">
        <x:v>building_structure</x:v>
      </x:c>
      <x:c r="C7" s="185" t="str">
        <x:v>鉄骨造</x:v>
      </x:c>
      <x:c r="D7" s="185" t="str">
        <x:v>UNAVAILABLE</x:v>
      </x:c>
      <x:c r="E7" s="185" t="str">
        <x:v>HIDE/REJECT</x:v>
      </x:c>
      <x:c r="F7" s="185" t="str">
        <x:v>COMPLETE</x:v>
      </x:c>
      <x:c r="G7" s="186" t="str">
        <x:v>ATT-TW-EV-007</x:v>
      </x:c>
    </x:row>
    <x:row r="8">
      <x:c r="A8" s="184" t="str">
        <x:v>ATT-TW-AP-PREFAB</x:v>
      </x:c>
      <x:c r="B8" s="185" t="str">
        <x:v>building_structure</x:v>
      </x:c>
      <x:c r="C8" s="185" t="str">
        <x:v>プレハブ等特殊納まり</x:v>
      </x:c>
      <x:c r="D8" s="185" t="str">
        <x:v>CONDITIONAL</x:v>
      </x:c>
      <x:c r="E8" s="185" t="str">
        <x:v>建築図面で新設サッシ固定木下地を確認</x:v>
      </x:c>
      <x:c r="F8" s="185" t="str">
        <x:v>COMPLETE_WITH_EXTERNAL_CHECK</x:v>
      </x:c>
      <x:c r="G8" s="186" t="str">
        <x:v>ATT-TW-EV-007</x:v>
      </x:c>
    </x:row>
    <x:row r="9">
      <x:c r="A9" s="184" t="str">
        <x:v>ATT-TW-AP-FIRE</x:v>
      </x:c>
      <x:c r="B9" s="185" t="str">
        <x:v>fire_required</x:v>
      </x:c>
      <x:c r="C9" s="185" t="str">
        <x:v>防火設備必要箇所</x:v>
      </x:c>
      <x:c r="D9" s="185" t="str">
        <x:v>UNAVAILABLE</x:v>
      </x:c>
      <x:c r="E9" s="185" t="str">
        <x:v>別商品体系へ</x:v>
      </x:c>
      <x:c r="F9" s="185" t="str">
        <x:v>COMPLETE</x:v>
      </x:c>
      <x:c r="G9" s="186" t="str">
        <x:v>ATT-TW-EV-007</x:v>
      </x:c>
    </x:row>
    <x:row r="10">
      <x:c r="A10" s="184" t="str">
        <x:v>ATT-TW-AP-BATH</x:v>
      </x:c>
      <x:c r="B10" s="185" t="str">
        <x:v>room_use</x:v>
      </x:c>
      <x:c r="C10" s="185" t="str">
        <x:v>浴室</x:v>
      </x:c>
      <x:c r="D10" s="185" t="str">
        <x:v>UNAVAILABLE</x:v>
      </x:c>
      <x:c r="E10" s="185" t="str">
        <x:v>アタッチ枠は浴室に使用不可</x:v>
      </x:c>
      <x:c r="F10" s="185" t="str">
        <x:v>COMPLETE</x:v>
      </x:c>
      <x:c r="G10" s="186" t="str">
        <x:v>ATT-TW-EV-002</x:v>
      </x:c>
    </x:row>
    <x:row r="11">
      <x:c r="A11" s="184" t="str">
        <x:v>ATT-TW-AP-MAT-RESIN</x:v>
      </x:c>
      <x:c r="B11" s="185" t="str">
        <x:v>existing_sash_material</x:v>
      </x:c>
      <x:c r="C11" s="185" t="str">
        <x:v>樹脂</x:v>
      </x:c>
      <x:c r="D11" s="185" t="str">
        <x:v>UNAVAILABLE</x:v>
      </x:c>
      <x:c r="E11" s="185" t="str">
        <x:v>HIDE/REJECT</x:v>
      </x:c>
      <x:c r="F11" s="185" t="str">
        <x:v>COMPLETE</x:v>
      </x:c>
      <x:c r="G11" s="186" t="str">
        <x:v>ATT-TW-EV-007</x:v>
      </x:c>
    </x:row>
    <x:row r="12">
      <x:c r="A12" s="184" t="str">
        <x:v>ATT-TW-AP-MAT-WOOD</x:v>
      </x:c>
      <x:c r="B12" s="185" t="str">
        <x:v>existing_sash_material</x:v>
      </x:c>
      <x:c r="C12" s="185" t="str">
        <x:v>木製</x:v>
      </x:c>
      <x:c r="D12" s="185" t="str">
        <x:v>UNAVAILABLE</x:v>
      </x:c>
      <x:c r="E12" s="185" t="str">
        <x:v>HIDE/REJECT</x:v>
      </x:c>
      <x:c r="F12" s="185" t="str">
        <x:v>COMPLETE</x:v>
      </x:c>
      <x:c r="G12" s="186" t="str">
        <x:v>ATT-TW-EV-007</x:v>
      </x:c>
    </x:row>
    <x:row r="13">
      <x:c r="A13" s="184" t="str">
        <x:v>ATT-TW-AP-DEPTH</x:v>
      </x:c>
      <x:c r="B13" s="185" t="str">
        <x:v>existing_frame_depth</x:v>
      </x:c>
      <x:c r="C13" s="185" t="str">
        <x:v>&lt;=100mm</x:v>
      </x:c>
      <x:c r="D13" s="185" t="str">
        <x:v>AVAILABLE</x:v>
      </x:c>
      <x:c r="E13" s="185" t="str">
        <x:v>取付基準内</x:v>
      </x:c>
      <x:c r="F13" s="185" t="str">
        <x:v>COMPLETE</x:v>
      </x:c>
      <x:c r="G13" s="186" t="str">
        <x:v>ATT-TW-EV-008</x:v>
      </x:c>
    </x:row>
    <x:row r="14">
      <x:c r="A14" s="184" t="str">
        <x:v>ATT-TW-AP-DEPTH-OVER</x:v>
      </x:c>
      <x:c r="B14" s="185" t="str">
        <x:v>existing_frame_depth</x:v>
      </x:c>
      <x:c r="C14" s="185" t="str">
        <x:v>&gt;100mm</x:v>
      </x:c>
      <x:c r="D14" s="185" t="str">
        <x:v>UNAVAILABLE</x:v>
      </x:c>
      <x:c r="E14" s="185" t="str">
        <x:v>HIDE/REJECT</x:v>
      </x:c>
      <x:c r="F14" s="185" t="str">
        <x:v>COMPLETE</x:v>
      </x:c>
      <x:c r="G14" s="186" t="str">
        <x:v>ATT-TW-EV-008</x:v>
      </x:c>
    </x:row>
    <x:row r="15">
      <x:c r="A15" s="187" t="str">
        <x:v>ATT-TW-AP-SILL</x:v>
      </x:c>
      <x:c r="B15" s="188" t="str">
        <x:v>lower_frame_rise</x:v>
      </x:c>
      <x:c r="C15" s="188" t="str">
        <x:v>29～48mm</x:v>
      </x:c>
      <x:c r="D15" s="188" t="str">
        <x:v>AVAILABLE</x:v>
      </x:c>
      <x:c r="E15" s="188" t="str">
        <x:v>補強金具標準対応</x:v>
      </x:c>
      <x:c r="F15" s="188" t="str">
        <x:v>COMPLETE</x:v>
      </x:c>
      <x:c r="G15" s="189" t="str">
        <x:v>ATT-TW-EV-010</x:v>
      </x:c>
    </x:row>
  </x:sheetData>
  <x:mergeCells>
    <x:mergeCell ref="A1:G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30" hidden="0" customWidth="1"/>
    <x:col min="4" max="4" width="84" hidden="0" customWidth="1"/>
    <x:col min="5" max="5" width="18" hidden="0" customWidth="1"/>
    <x:col min="6" max="6" width="24" hidden="0" customWidth="1"/>
    <x:col min="7" max="7" width="14" hidden="0" customWidth="1"/>
    <x:col min="8" max="8" width="16" hidden="0" customWidth="1"/>
  </x:cols>
  <x:sheetData>
    <x:row r="1" ht="28" customHeight="1">
      <x:c r="A1" s="178" t="str">
        <x:v>10A_既設窓互換｜アタッチ枠TW</x:v>
      </x:c>
      <x:c r="B1" s="178"/>
      <x:c r="C1" s="178"/>
      <x:c r="D1" s="178"/>
      <x:c r="E1" s="178"/>
      <x:c r="F1" s="178"/>
      <x:c r="G1" s="4"/>
      <x:c r="H1" s="4"/>
    </x:row>
    <x:row r="2" ht="34" customHeight="1">
      <x:c r="A2" s="11"/>
      <x:c r="B2" s="11"/>
      <x:c r="C2" s="11"/>
      <x:c r="D2" s="11"/>
      <x:c r="E2" s="11"/>
      <x:c r="F2" s="11"/>
      <x:c r="G2" s="11"/>
      <x:c r="H2" s="11"/>
    </x:row>
    <x:row r="3">
      <x:c r="A3" s="181" t="str">
        <x:v>rule_id</x:v>
      </x:c>
      <x:c r="B3" s="182" t="str">
        <x:v>existing_window_type</x:v>
      </x:c>
      <x:c r="C3" s="182" t="str">
        <x:v>result</x:v>
      </x:c>
      <x:c r="D3" s="182" t="str">
        <x:v>attachment_specific_note</x:v>
      </x:c>
      <x:c r="E3" s="182" t="str">
        <x:v>status</x:v>
      </x:c>
      <x:c r="F3" s="183" t="str">
        <x:v>evidence</x:v>
      </x:c>
    </x:row>
    <x:row r="4" ht="30" customHeight="1">
      <x:c r="A4" s="196" t="str">
        <x:v>ATT-TW-EX-001</x:v>
      </x:c>
      <x:c r="B4" s="205" t="str">
        <x:v>引違い窓 単体サッシ</x:v>
      </x:c>
      <x:c r="C4" s="205" t="str">
        <x:v>AVAILABLE</x:v>
      </x:c>
      <x:c r="D4" s="205" t="str">
        <x:v>既設窓として可。新設TW側は装飾窓対応表から選択</x:v>
      </x:c>
      <x:c r="E4" s="205" t="str">
        <x:v>COMPLETE</x:v>
      </x:c>
      <x:c r="F4" s="197" t="str">
        <x:v>ATT-TW-EV-007</x:v>
      </x:c>
      <x:c r="G4" s="33"/>
      <x:c r="H4" s="34"/>
    </x:row>
    <x:row r="5">
      <x:c r="A5" s="184" t="str">
        <x:v>ATT-TW-EX-002</x:v>
      </x:c>
      <x:c r="B5" s="185" t="str">
        <x:v>引違い窓 連段窓（一体方立・一体無目）</x:v>
      </x:c>
      <x:c r="C5" s="185" t="str">
        <x:v>AVAILABLE</x:v>
      </x:c>
      <x:c r="D5" s="185" t="str">
        <x:v>既設対応可</x:v>
      </x:c>
      <x:c r="E5" s="185" t="str">
        <x:v>COMPLETE</x:v>
      </x:c>
      <x:c r="F5" s="186" t="str">
        <x:v>ATT-TW-EV-007</x:v>
      </x:c>
      <x:c r="G5" s="36"/>
      <x:c r="H5" s="37"/>
    </x:row>
    <x:row r="6">
      <x:c r="A6" s="184" t="str">
        <x:v>ATT-TW-EX-003</x:v>
      </x:c>
      <x:c r="B6" s="185" t="str">
        <x:v>引違い窓 連段窓（別体方立・別体無目）</x:v>
      </x:c>
      <x:c r="C6" s="185" t="str">
        <x:v>UNAVAILABLE</x:v>
      </x:c>
      <x:c r="D6" s="185" t="str">
        <x:v>取替不可</x:v>
      </x:c>
      <x:c r="E6" s="185" t="str">
        <x:v>COMPLETE</x:v>
      </x:c>
      <x:c r="F6" s="186" t="str">
        <x:v>ATT-TW-EV-007</x:v>
      </x:c>
      <x:c r="G6" s="36"/>
      <x:c r="H6" s="37"/>
    </x:row>
    <x:row r="7">
      <x:c r="A7" s="184" t="str">
        <x:v>ATT-TW-EX-004</x:v>
      </x:c>
      <x:c r="B7" s="185" t="str">
        <x:v>二重サッシ</x:v>
      </x:c>
      <x:c r="C7" s="185" t="str">
        <x:v>AVAILABLE_CONDITIONAL</x:v>
      </x:c>
      <x:c r="D7" s="185" t="str">
        <x:v>既設外枠内々を採寸し、内枠は施工時除去</x:v>
      </x:c>
      <x:c r="E7" s="185" t="str">
        <x:v>COMPLETE</x:v>
      </x:c>
      <x:c r="F7" s="186" t="str">
        <x:v>ATT-TW-EV-007,009</x:v>
      </x:c>
      <x:c r="G7" s="36"/>
      <x:c r="H7" s="37"/>
    </x:row>
    <x:row r="8">
      <x:c r="A8" s="184" t="str">
        <x:v>ATT-TW-EX-005</x:v>
      </x:c>
      <x:c r="B8" s="185" t="str">
        <x:v>面格子付サッシ</x:v>
      </x:c>
      <x:c r="C8" s="185" t="str">
        <x:v>AVAILABLE_CONDITIONAL</x:v>
      </x:c>
      <x:c r="D8" s="185" t="str">
        <x:v>面格子脱着・復旧可否を現調</x:v>
      </x:c>
      <x:c r="E8" s="185" t="str">
        <x:v>COMPLETE</x:v>
      </x:c>
      <x:c r="F8" s="186" t="str">
        <x:v>ATT-TW-EV-007</x:v>
      </x:c>
      <x:c r="G8" s="36"/>
      <x:c r="H8" s="37"/>
    </x:row>
    <x:row r="9">
      <x:c r="A9" s="184" t="str">
        <x:v>ATT-TW-EX-006</x:v>
      </x:c>
      <x:c r="B9" s="185" t="str">
        <x:v>雨戸付サッシ</x:v>
      </x:c>
      <x:c r="C9" s="185" t="str">
        <x:v>UNAVAILABLE</x:v>
      </x:c>
      <x:c r="D9" s="185" t="str">
        <x:v>公式注記：アタッチ枠（TW用・サーモス用）は取付不可</x:v>
      </x:c>
      <x:c r="E9" s="185" t="str">
        <x:v>COMPLETE</x:v>
      </x:c>
      <x:c r="F9" s="186" t="str">
        <x:v>ATT-TW-EV-007</x:v>
      </x:c>
      <x:c r="G9" s="36"/>
      <x:c r="H9" s="37"/>
    </x:row>
    <x:row r="10">
      <x:c r="A10" s="184" t="str">
        <x:v>ATT-TW-EX-007</x:v>
      </x:c>
      <x:c r="B10" s="185" t="str">
        <x:v>シャッター付サッシ</x:v>
      </x:c>
      <x:c r="C10" s="185" t="str">
        <x:v>UNAVAILABLE</x:v>
      </x:c>
      <x:c r="D10" s="185" t="str">
        <x:v>公式注記：アタッチ枠（TW用・サーモス用）は取付不可</x:v>
      </x:c>
      <x:c r="E10" s="185" t="str">
        <x:v>COMPLETE</x:v>
      </x:c>
      <x:c r="F10" s="186" t="str">
        <x:v>ATT-TW-EV-007</x:v>
      </x:c>
      <x:c r="G10" s="36"/>
      <x:c r="H10" s="37"/>
    </x:row>
    <x:row r="11">
      <x:c r="A11" s="184" t="str">
        <x:v>ATT-TW-EX-008</x:v>
      </x:c>
      <x:c r="B11" s="185" t="str">
        <x:v>装飾窓 単体サッシ</x:v>
      </x:c>
      <x:c r="C11" s="185" t="str">
        <x:v>AVAILABLE</x:v>
      </x:c>
      <x:c r="D11" s="185" t="str">
        <x:v>—</x:v>
      </x:c>
      <x:c r="E11" s="185" t="str">
        <x:v>COMPLETE</x:v>
      </x:c>
      <x:c r="F11" s="186" t="str">
        <x:v>ATT-TW-EV-007</x:v>
      </x:c>
      <x:c r="G11" s="36"/>
      <x:c r="H11" s="37"/>
    </x:row>
    <x:row r="12">
      <x:c r="A12" s="184" t="str">
        <x:v>ATT-TW-EX-009</x:v>
      </x:c>
      <x:c r="B12" s="185" t="str">
        <x:v>装飾窓 異形（丸・台形等）</x:v>
      </x:c>
      <x:c r="C12" s="185" t="str">
        <x:v>UNAVAILABLE</x:v>
      </x:c>
      <x:c r="D12" s="185" t="str">
        <x:v>取替不可</x:v>
      </x:c>
      <x:c r="E12" s="185" t="str">
        <x:v>COMPLETE</x:v>
      </x:c>
      <x:c r="F12" s="186" t="str">
        <x:v>ATT-TW-EV-007</x:v>
      </x:c>
      <x:c r="G12" s="36"/>
      <x:c r="H12" s="37"/>
    </x:row>
    <x:row r="13">
      <x:c r="A13" s="184" t="str">
        <x:v>ATT-TW-EX-010</x:v>
      </x:c>
      <x:c r="B13" s="185" t="str">
        <x:v>装飾窓 連段窓（一体方立・一体無目）</x:v>
      </x:c>
      <x:c r="C13" s="185" t="str">
        <x:v>AVAILABLE</x:v>
      </x:c>
      <x:c r="D13" s="185" t="str">
        <x:v>—</x:v>
      </x:c>
      <x:c r="E13" s="185" t="str">
        <x:v>COMPLETE</x:v>
      </x:c>
      <x:c r="F13" s="186" t="str">
        <x:v>ATT-TW-EV-007</x:v>
      </x:c>
      <x:c r="G13" s="36"/>
      <x:c r="H13" s="37"/>
    </x:row>
    <x:row r="14">
      <x:c r="A14" s="187" t="str">
        <x:v>ATT-TW-EX-011</x:v>
      </x:c>
      <x:c r="B14" s="188" t="str">
        <x:v>装飾窓 連段窓（別体方立・別体無目）</x:v>
      </x:c>
      <x:c r="C14" s="188" t="str">
        <x:v>UNAVAILABLE</x:v>
      </x:c>
      <x:c r="D14" s="188" t="str">
        <x:v>取替不可</x:v>
      </x:c>
      <x:c r="E14" s="188" t="str">
        <x:v>COMPLETE</x:v>
      </x:c>
      <x:c r="F14" s="189" t="str">
        <x:v>ATT-TW-EV-007</x:v>
      </x:c>
      <x:c r="G14" s="36"/>
      <x:c r="H14" s="37"/>
    </x:row>
    <x:row r="15">
      <x:c r="A15" s="38"/>
      <x:c r="B15" s="39"/>
      <x:c r="C15" s="39"/>
      <x:c r="D15" s="39"/>
      <x:c r="E15" s="39"/>
      <x:c r="F15" s="39"/>
      <x:c r="G15" s="39"/>
      <x:c r="H15" s="40"/>
    </x:row>
  </x:sheetData>
  <x:mergeCells>
    <x:mergeCell ref="A1:H1"/>
    <x:mergeCell ref="A2:H2"/>
    <x:mergeCell ref="A1:F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2" hidden="0" customWidth="1"/>
    <x:col min="4" max="4" width="10" hidden="0" customWidth="1"/>
    <x:col min="5" max="5" width="92" hidden="0" customWidth="1"/>
    <x:col min="6" max="6" width="22" hidden="0" customWidth="1"/>
    <x:col min="7" max="7" width="18" hidden="0" customWidth="1"/>
    <x:col min="8" max="8" width="24" hidden="0" customWidth="1"/>
    <x:col min="9" max="9" width="18" hidden="0" customWidth="1"/>
  </x:cols>
  <x:sheetData>
    <x:row r="1" ht="28" customHeight="1">
      <x:c r="A1" s="178" t="str">
        <x:v>10B_現調項目｜アタッチ枠TW</x:v>
      </x:c>
      <x:c r="B1" s="178"/>
      <x:c r="C1" s="178"/>
      <x:c r="D1" s="178"/>
      <x:c r="E1" s="178"/>
      <x:c r="F1" s="178"/>
      <x:c r="G1" s="178"/>
      <x:c r="H1" s="178"/>
      <x:c r="I1" s="127"/>
    </x:row>
    <x:row r="3" ht="30" customHeight="1">
      <x:c r="A3" s="181" t="str">
        <x:v>survey_id</x:v>
      </x:c>
      <x:c r="B3" s="182" t="str">
        <x:v>項目名</x:v>
      </x:c>
      <x:c r="C3" s="182" t="str">
        <x:v>symbol</x:v>
      </x:c>
      <x:c r="D3" s="182" t="str">
        <x:v>unit</x:v>
      </x:c>
      <x:c r="E3" s="182" t="str">
        <x:v>判定/採寸ルール</x:v>
      </x:c>
      <x:c r="F3" s="182" t="str">
        <x:v>requirement</x:v>
      </x:c>
      <x:c r="G3" s="182" t="str">
        <x:v>status</x:v>
      </x:c>
      <x:c r="H3" s="183" t="str">
        <x:v>evidence</x:v>
      </x:c>
      <x:c r="I3" s="143"/>
    </x:row>
    <x:row r="4">
      <x:c r="A4" s="184" t="str">
        <x:v>ATT-TW-SV-W3</x:v>
      </x:c>
      <x:c r="B4" s="185" t="str">
        <x:v>採寸W 3点</x:v>
      </x:c>
      <x:c r="C4" s="185" t="str">
        <x:v>WS</x:v>
      </x:c>
      <x:c r="D4" s="185" t="str">
        <x:v>mm</x:v>
      </x:c>
      <x:c r="E4" s="185" t="str">
        <x:v>上・中・下3点の最小値を採用</x:v>
      </x:c>
      <x:c r="F4" s="185" t="str">
        <x:v>REQUIRED</x:v>
      </x:c>
      <x:c r="G4" s="185" t="str">
        <x:v>COMPLETE</x:v>
      </x:c>
      <x:c r="H4" s="186" t="str">
        <x:v>ATT-TW-EV-009</x:v>
      </x:c>
      <x:c r="I4" s="146"/>
    </x:row>
    <x:row r="5">
      <x:c r="A5" s="184" t="str">
        <x:v>ATT-TW-SV-H3</x:v>
      </x:c>
      <x:c r="B5" s="185" t="str">
        <x:v>採寸H 3点</x:v>
      </x:c>
      <x:c r="C5" s="185" t="str">
        <x:v>HS</x:v>
      </x:c>
      <x:c r="D5" s="185" t="str">
        <x:v>mm</x:v>
      </x:c>
      <x:c r="E5" s="185" t="str">
        <x:v>左・中・右3点の最小値を採用</x:v>
      </x:c>
      <x:c r="F5" s="185" t="str">
        <x:v>REQUIRED</x:v>
      </x:c>
      <x:c r="G5" s="185" t="str">
        <x:v>COMPLETE</x:v>
      </x:c>
      <x:c r="H5" s="186" t="str">
        <x:v>ATT-TW-EV-009</x:v>
      </x:c>
      <x:c r="I5" s="146"/>
    </x:row>
    <x:row r="6">
      <x:c r="A6" s="184" t="str">
        <x:v>ATT-TW-SV-DEPTH</x:v>
      </x:c>
      <x:c r="B6" s="185" t="str">
        <x:v>既設枠見込み</x:v>
      </x:c>
      <x:c r="C6" s="185" t="str">
        <x:v>—</x:v>
      </x:c>
      <x:c r="D6" s="185" t="str">
        <x:v>mm</x:v>
      </x:c>
      <x:c r="E6" s="185" t="str">
        <x:v>100mm以下</x:v>
      </x:c>
      <x:c r="F6" s="185" t="str">
        <x:v>REQUIRED</x:v>
      </x:c>
      <x:c r="G6" s="185" t="str">
        <x:v>COMPLETE</x:v>
      </x:c>
      <x:c r="H6" s="186" t="str">
        <x:v>ATT-TW-EV-008</x:v>
      </x:c>
      <x:c r="I6" s="146"/>
    </x:row>
    <x:row r="7">
      <x:c r="A7" s="184" t="str">
        <x:v>ATT-TW-SV-SILL</x:v>
      </x:c>
      <x:c r="B7" s="185" t="str">
        <x:v>下枠立ち上がり</x:v>
      </x:c>
      <x:c r="C7" s="185" t="str">
        <x:v>—</x:v>
      </x:c>
      <x:c r="D7" s="185" t="str">
        <x:v>mm</x:v>
      </x:c>
      <x:c r="E7" s="185" t="str">
        <x:v>補強金具29～48mm標準対応</x:v>
      </x:c>
      <x:c r="F7" s="185" t="str">
        <x:v>REQUIRED</x:v>
      </x:c>
      <x:c r="G7" s="185" t="str">
        <x:v>COMPLETE</x:v>
      </x:c>
      <x:c r="H7" s="186" t="str">
        <x:v>ATT-TW-EV-010</x:v>
      </x:c>
      <x:c r="I7" s="146"/>
    </x:row>
    <x:row r="8">
      <x:c r="A8" s="184" t="str">
        <x:v>ATT-TW-SV-HEAD-FACE</x:v>
      </x:c>
      <x:c r="B8" s="185" t="str">
        <x:v>上枠見付</x:v>
      </x:c>
      <x:c r="C8" s="185" t="str">
        <x:v>—</x:v>
      </x:c>
      <x:c r="D8" s="185" t="str">
        <x:v>mm</x:v>
      </x:c>
      <x:c r="E8" s="185" t="str">
        <x:v>10Cの大/中/小判定へ</x:v>
      </x:c>
      <x:c r="F8" s="185" t="str">
        <x:v>REQUIRED</x:v>
      </x:c>
      <x:c r="G8" s="185" t="str">
        <x:v>COMPLETE</x:v>
      </x:c>
      <x:c r="H8" s="186" t="str">
        <x:v>ATT-TW-EV-011</x:v>
      </x:c>
      <x:c r="I8" s="146"/>
    </x:row>
    <x:row r="9">
      <x:c r="A9" s="184" t="str">
        <x:v>ATT-TW-SV-SILL-FACE</x:v>
      </x:c>
      <x:c r="B9" s="185" t="str">
        <x:v>下枠見付</x:v>
      </x:c>
      <x:c r="C9" s="185" t="str">
        <x:v>—</x:v>
      </x:c>
      <x:c r="D9" s="185" t="str">
        <x:v>mm</x:v>
      </x:c>
      <x:c r="E9" s="185" t="str">
        <x:v>10Cの大/中/小判定へ</x:v>
      </x:c>
      <x:c r="F9" s="185" t="str">
        <x:v>REQUIRED</x:v>
      </x:c>
      <x:c r="G9" s="185" t="str">
        <x:v>COMPLETE</x:v>
      </x:c>
      <x:c r="H9" s="186" t="str">
        <x:v>ATT-TW-EV-011</x:v>
      </x:c>
      <x:c r="I9" s="146"/>
    </x:row>
    <x:row r="10">
      <x:c r="A10" s="184" t="str">
        <x:v>ATT-TW-SV-JAMB-FACE</x:v>
      </x:c>
      <x:c r="B10" s="185" t="str">
        <x:v>縦枠見付</x:v>
      </x:c>
      <x:c r="C10" s="185" t="str">
        <x:v>—</x:v>
      </x:c>
      <x:c r="D10" s="185" t="str">
        <x:v>mm</x:v>
      </x:c>
      <x:c r="E10" s="185" t="str">
        <x:v>10Cの大/中/小判定へ</x:v>
      </x:c>
      <x:c r="F10" s="185" t="str">
        <x:v>REQUIRED</x:v>
      </x:c>
      <x:c r="G10" s="185" t="str">
        <x:v>COMPLETE</x:v>
      </x:c>
      <x:c r="H10" s="186" t="str">
        <x:v>ATT-TW-EV-011</x:v>
      </x:c>
      <x:c r="I10" s="146"/>
    </x:row>
    <x:row r="11">
      <x:c r="A11" s="184" t="str">
        <x:v>ATT-TW-SV-DEFORM</x:v>
      </x:c>
      <x:c r="B11" s="185" t="str">
        <x:v>ねじれ/ゆがみ/たおれ</x:v>
      </x:c>
      <x:c r="C11" s="185" t="str">
        <x:v>—</x:v>
      </x:c>
      <x:c r="D11" s="185" t="str">
        <x:v>mm</x:v>
      </x:c>
      <x:c r="E11" s="185" t="str">
        <x:v>上下±3mm・左右±4mm、たおれ4mm以内等の公式確認</x:v>
      </x:c>
      <x:c r="F11" s="185" t="str">
        <x:v>REQUIRED</x:v>
      </x:c>
      <x:c r="G11" s="185" t="str">
        <x:v>COMPLETE</x:v>
      </x:c>
      <x:c r="H11" s="186" t="str">
        <x:v>ATT-TW-EV-009</x:v>
      </x:c>
      <x:c r="I11" s="146"/>
    </x:row>
    <x:row r="12">
      <x:c r="A12" s="184" t="str">
        <x:v>ATT-TW-SV-WORK</x:v>
      </x:c>
      <x:c r="B12" s="185" t="str">
        <x:v>作業/搬入スペース</x:v>
      </x:c>
      <x:c r="C12" s="185" t="str">
        <x:v>—</x:v>
      </x:c>
      <x:c r="D12" s="185" t="str">
        <x:v>—</x:v>
      </x:c>
      <x:c r="E12" s="185" t="str">
        <x:v>搬入、足場、家具、外部施工空間を確認</x:v>
      </x:c>
      <x:c r="F12" s="185" t="str">
        <x:v>REQUIRED</x:v>
      </x:c>
      <x:c r="G12" s="185" t="str">
        <x:v>COMPLETE</x:v>
      </x:c>
      <x:c r="H12" s="186" t="str">
        <x:v>ATT-TW-EV-007</x:v>
      </x:c>
      <x:c r="I12" s="146"/>
    </x:row>
    <x:row r="13">
      <x:c r="A13" s="184" t="str">
        <x:v>ATT-TW-SV-BASE</x:v>
      </x:c>
      <x:c r="B13" s="185" t="str">
        <x:v>固定下地</x:v>
      </x:c>
      <x:c r="C13" s="185" t="str">
        <x:v>—</x:v>
      </x:c>
      <x:c r="D13" s="185" t="str">
        <x:v>—</x:v>
      </x:c>
      <x:c r="E13" s="185" t="str">
        <x:v>新設枠ねじを確実に固定できる木下地を確認</x:v>
      </x:c>
      <x:c r="F13" s="185" t="str">
        <x:v>REQUIRED</x:v>
      </x:c>
      <x:c r="G13" s="185" t="str">
        <x:v>COMPLETE</x:v>
      </x:c>
      <x:c r="H13" s="186" t="str">
        <x:v>ATT-TW-EV-007</x:v>
      </x:c>
      <x:c r="I13" s="146"/>
    </x:row>
    <x:row r="14">
      <x:c r="A14" s="187" t="str">
        <x:v>ATT-TW-SV-DOUBLE</x:v>
      </x:c>
      <x:c r="B14" s="188" t="str">
        <x:v>二重サッシ</x:v>
      </x:c>
      <x:c r="C14" s="188" t="str">
        <x:v>—</x:v>
      </x:c>
      <x:c r="D14" s="188" t="str">
        <x:v>—</x:v>
      </x:c>
      <x:c r="E14" s="188" t="str">
        <x:v>既設外枠内々採寸、内枠は施工時除去</x:v>
      </x:c>
      <x:c r="F14" s="188" t="str">
        <x:v>CONDITIONAL</x:v>
      </x:c>
      <x:c r="G14" s="188" t="str">
        <x:v>COMPLETE</x:v>
      </x:c>
      <x:c r="H14" s="189" t="str">
        <x:v>ATT-TW-EV-009</x:v>
      </x:c>
      <x:c r="I14" s="149"/>
    </x:row>
  </x:sheetData>
  <x:mergeCells>
    <x:mergeCell ref="A1:I1"/>
    <x:mergeCell ref="A1:H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48" hidden="0" customWidth="1"/>
    <x:col min="4" max="4" width="30" hidden="0" customWidth="1"/>
    <x:col min="5" max="5" width="96" hidden="0" customWidth="1"/>
    <x:col min="6" max="6" width="28" hidden="0" customWidth="1"/>
  </x:cols>
  <x:sheetData>
    <x:row r="1" ht="28" customHeight="1">
      <x:c r="A1" s="178" t="str">
        <x:v>99_QA｜アタッチ枠TW 完成判定</x:v>
      </x:c>
      <x:c r="B1" s="178"/>
      <x:c r="C1" s="178"/>
      <x:c r="D1" s="178"/>
      <x:c r="E1" s="178"/>
      <x:c r="F1" s="178"/>
    </x:row>
    <x:row r="2" ht="40" customHeight="1">
      <x:c r="A2" s="179" t="str">
        <x:v>TW正本参照型として通常見積に必要なアタッチ枠固有条件を完成。特殊性能/複合納まりだけCOMPLETE_WITH_EXTERNAL_CHECK。</x:v>
      </x:c>
      <x:c r="B2" s="179"/>
      <x:c r="C2" s="179"/>
      <x:c r="D2" s="179"/>
      <x:c r="E2" s="179"/>
      <x:c r="F2" s="179"/>
    </x:row>
    <x:row r="3" ht="30" customHeight="1">
      <x:c r="A3" s="32"/>
      <x:c r="B3" s="33"/>
      <x:c r="C3" s="33"/>
      <x:c r="D3" s="33"/>
      <x:c r="E3" s="33"/>
      <x:c r="F3" s="34"/>
    </x:row>
    <x:row r="4">
      <x:c r="A4" s="212" t="str">
        <x:v>qa_id</x:v>
      </x:c>
      <x:c r="B4" s="213" t="str">
        <x:v>phase</x:v>
      </x:c>
      <x:c r="C4" s="213" t="str">
        <x:v>項目</x:v>
      </x:c>
      <x:c r="D4" s="213" t="str">
        <x:v>status</x:v>
      </x:c>
      <x:c r="E4" s="213" t="str">
        <x:v>判定/残課題</x:v>
      </x:c>
      <x:c r="F4" s="214" t="str">
        <x:v>evidence</x:v>
      </x:c>
    </x:row>
    <x:row r="5">
      <x:c r="A5" s="184" t="str">
        <x:v>ATT-TW-QA-01</x:v>
      </x:c>
      <x:c r="B5" s="185" t="str">
        <x:v>ATT-TW-1</x:v>
      </x:c>
      <x:c r="C5" s="185" t="str">
        <x:v>installation_system</x:v>
      </x:c>
      <x:c r="D5" s="229" t="str">
        <x:v>COMPLETE</x:v>
      </x:c>
      <x:c r="E5" s="185" t="str">
        <x:v>RPL_ATT_TWを独立。RPL_TW不使用</x:v>
      </x:c>
      <x:c r="F5" s="186" t="str">
        <x:v>ATT-TW-EV-002</x:v>
      </x:c>
    </x:row>
    <x:row r="6">
      <x:c r="A6" s="184" t="str">
        <x:v>ATT-TW-QA-02</x:v>
      </x:c>
      <x:c r="B6" s="185" t="str">
        <x:v>ATT-TW-1</x:v>
      </x:c>
      <x:c r="C6" s="185" t="str">
        <x:v>TW参照先</x:v>
      </x:c>
      <x:c r="D6" s="229" t="str">
        <x:v>COMPLETE</x:v>
      </x:c>
      <x:c r="E6" s="185" t="str">
        <x:v>SER-LIX-TW / サッシ商品マスター_v0.1</x:v>
      </x:c>
      <x:c r="F6" s="186" t="str">
        <x:v>ATT-TW-EV-003</x:v>
      </x:c>
    </x:row>
    <x:row r="7">
      <x:c r="A7" s="184" t="str">
        <x:v>ATT-TW-QA-03</x:v>
      </x:c>
      <x:c r="B7" s="185" t="str">
        <x:v>ATT-TW-1</x:v>
      </x:c>
      <x:c r="C7" s="185" t="str">
        <x:v>対応TW窓種</x:v>
      </x:c>
      <x:c r="D7" s="229" t="str">
        <x:v>COMPLETE</x:v>
      </x:c>
      <x:c r="E7" s="185" t="str">
        <x:v>公式p203対応表→有効SWT IDへマッピング</x:v>
      </x:c>
      <x:c r="F7" s="186" t="str">
        <x:v>ATT-TW-EV-003,004</x:v>
      </x:c>
    </x:row>
    <x:row r="8">
      <x:c r="A8" s="184" t="str">
        <x:v>ATT-TW-QA-04</x:v>
      </x:c>
      <x:c r="B8" s="185" t="str">
        <x:v>ATT-TW-1</x:v>
      </x:c>
      <x:c r="C8" s="185" t="str">
        <x:v>専用品/TW別手配</x:v>
      </x:c>
      <x:c r="D8" s="229" t="str">
        <x:v>COMPLETE</x:v>
      </x:c>
      <x:c r="E8" s="185" t="str">
        <x:v>2経路を分離、TW別手配はフィンカット＋連結ねじ</x:v>
      </x:c>
      <x:c r="F8" s="186" t="str">
        <x:v>ATT-TW-EV-002,004</x:v>
      </x:c>
    </x:row>
    <x:row r="9">
      <x:c r="A9" s="184" t="str">
        <x:v>ATT-TW-QA-05</x:v>
      </x:c>
      <x:c r="B9" s="185" t="str">
        <x:v>ATT-TW-2</x:v>
      </x:c>
      <x:c r="C9" s="185" t="str">
        <x:v>既設窓互換</x:v>
      </x:c>
      <x:c r="D9" s="229" t="str">
        <x:v>COMPLETE</x:v>
      </x:c>
      <x:c r="E9" s="185" t="str">
        <x:v>別体連段不可、雨戸/シャッターはATT-TW不可</x:v>
      </x:c>
      <x:c r="F9" s="186" t="str">
        <x:v>ATT-TW-EV-007</x:v>
      </x:c>
    </x:row>
    <x:row r="10">
      <x:c r="A10" s="184" t="str">
        <x:v>ATT-TW-QA-06</x:v>
      </x:c>
      <x:c r="B10" s="185" t="str">
        <x:v>ATT-TW-2</x:v>
      </x:c>
      <x:c r="C10" s="185" t="str">
        <x:v>材質/構造/防火/浴室</x:v>
      </x:c>
      <x:c r="D10" s="229" t="str">
        <x:v>COMPLETE</x:v>
      </x:c>
      <x:c r="E10" s="185" t="str">
        <x:v>樹脂・木不可、ALC/鉄骨不可、防火/浴室不可</x:v>
      </x:c>
      <x:c r="F10" s="186" t="str">
        <x:v>ATT-TW-EV-002,007</x:v>
      </x:c>
    </x:row>
    <x:row r="11">
      <x:c r="A11" s="184" t="str">
        <x:v>ATT-TW-QA-07</x:v>
      </x:c>
      <x:c r="B11" s="185" t="str">
        <x:v>ATT-TW-3</x:v>
      </x:c>
      <x:c r="C11" s="185" t="str">
        <x:v>採寸→アタッチ/TW寸法変換</x:v>
      </x:c>
      <x:c r="D11" s="229" t="str">
        <x:v>COMPLETE</x:v>
      </x:c>
      <x:c r="E11" s="185" t="str">
        <x:v>WD/HD=-10、TW_W=-38、TW_H=-50</x:v>
      </x:c>
      <x:c r="F11" s="186" t="str">
        <x:v>ATT-TW-EV-006</x:v>
      </x:c>
    </x:row>
    <x:row r="12">
      <x:c r="A12" s="184" t="str">
        <x:v>ATT-TW-QA-08</x:v>
      </x:c>
      <x:c r="B12" s="185" t="str">
        <x:v>ATT-TW-3</x:v>
      </x:c>
      <x:c r="C12" s="185" t="str">
        <x:v>TWサイズ交差判定</x:v>
      </x:c>
      <x:c r="D12" s="229" t="str">
        <x:v>COMPLETE</x:v>
      </x:c>
      <x:c r="E12" s="185" t="str">
        <x:v>TW本体範囲を複製せず正本へ照会</x:v>
      </x:c>
      <x:c r="F12" s="186" t="str">
        <x:v>ATT-TW-EV-003,006</x:v>
      </x:c>
    </x:row>
    <x:row r="13">
      <x:c r="A13" s="184" t="str">
        <x:v>ATT-TW-QA-09</x:v>
      </x:c>
      <x:c r="B13" s="185" t="str">
        <x:v>ATT-TW-3</x:v>
      </x:c>
      <x:c r="C13" s="185" t="str">
        <x:v>既設枠見込み</x:v>
      </x:c>
      <x:c r="D13" s="229" t="str">
        <x:v>COMPLETE</x:v>
      </x:c>
      <x:c r="E13" s="185" t="str">
        <x:v>100mm以下</x:v>
      </x:c>
      <x:c r="F13" s="186" t="str">
        <x:v>ATT-TW-EV-008</x:v>
      </x:c>
    </x:row>
    <x:row r="14">
      <x:c r="A14" s="184" t="str">
        <x:v>ATT-TW-QA-10</x:v>
      </x:c>
      <x:c r="B14" s="185" t="str">
        <x:v>ATT-TW-3</x:v>
      </x:c>
      <x:c r="C14" s="185" t="str">
        <x:v>下枠補強</x:v>
      </x:c>
      <x:c r="D14" s="229" t="str">
        <x:v>COMPLETE</x:v>
      </x:c>
      <x:c r="E14" s="185" t="str">
        <x:v>29～48mm＋公式スペーサー補正</x:v>
      </x:c>
      <x:c r="F14" s="186" t="str">
        <x:v>ATT-TW-EV-010</x:v>
      </x:c>
    </x:row>
    <x:row r="15">
      <x:c r="A15" s="184" t="str">
        <x:v>ATT-TW-QA-11</x:v>
      </x:c>
      <x:c r="B15" s="185" t="str">
        <x:v>ATT-TW-4</x:v>
      </x:c>
      <x:c r="C15" s="185" t="str">
        <x:v>化粧カバー見付</x:v>
      </x:c>
      <x:c r="D15" s="229" t="str">
        <x:v>COMPLETE</x:v>
      </x:c>
      <x:c r="E15" s="185" t="str">
        <x:v>ATT-TW専用大/中/小数値化</x:v>
      </x:c>
      <x:c r="F15" s="186" t="str">
        <x:v>ATT-TW-EV-011</x:v>
      </x:c>
    </x:row>
    <x:row r="16">
      <x:c r="A16" s="184" t="str">
        <x:v>ATT-TW-QA-12</x:v>
      </x:c>
      <x:c r="B16" s="185" t="str">
        <x:v>ATT-TW-4</x:v>
      </x:c>
      <x:c r="C16" s="185" t="str">
        <x:v>色責任分界</x:v>
      </x:c>
      <x:c r="D16" s="229" t="str">
        <x:v>COMPLETE</x:v>
      </x:c>
      <x:c r="E16" s="185" t="str">
        <x:v>TW本体色=正本参照、カバー/アングルのみローカル</x:v>
      </x:c>
      <x:c r="F16" s="186" t="str">
        <x:v>ATT-TW-EV-002,003</x:v>
      </x:c>
    </x:row>
    <x:row r="17">
      <x:c r="A17" s="184" t="str">
        <x:v>ATT-TW-QA-13</x:v>
      </x:c>
      <x:c r="B17" s="185" t="str">
        <x:v>ATT-TW-5</x:v>
      </x:c>
      <x:c r="C17" s="185" t="str">
        <x:v>ガラス/網戸/TW本体OP</x:v>
      </x:c>
      <x:c r="D17" s="229" t="str">
        <x:v>COMPLETE</x:v>
      </x:c>
      <x:c r="E17" s="185" t="str">
        <x:v>すべてTW正本参照。ローカル複製なし</x:v>
      </x:c>
      <x:c r="F17" s="186" t="str">
        <x:v>ATT-TW-EV-003</x:v>
      </x:c>
    </x:row>
    <x:row r="18">
      <x:c r="A18" s="184" t="str">
        <x:v>ATT-TW-QA-14</x:v>
      </x:c>
      <x:c r="B18" s="185" t="str">
        <x:v>ATT-TW-6</x:v>
      </x:c>
      <x:c r="C18" s="185" t="str">
        <x:v>アタッチ枠有償品/依存</x:v>
      </x:c>
      <x:c r="D18" s="229" t="str">
        <x:v>COMPLETE</x:v>
      </x:c>
      <x:c r="E18" s="185" t="str">
        <x:v>アタッチ枠固有部材のみ構造化</x:v>
      </x:c>
      <x:c r="F18" s="186" t="str">
        <x:v>ATT-TW-EV-013,014</x:v>
      </x:c>
    </x:row>
    <x:row r="19">
      <x:c r="A19" s="184" t="str">
        <x:v>ATT-TW-QA-15</x:v>
      </x:c>
      <x:c r="B19" s="185" t="str">
        <x:v>ATT-TW-7</x:v>
      </x:c>
      <x:c r="C19" s="185" t="str">
        <x:v>現調条件</x:v>
      </x:c>
      <x:c r="D19" s="229" t="str">
        <x:v>COMPLETE</x:v>
      </x:c>
      <x:c r="E19" s="185" t="str">
        <x:v>3点採寸・変形・下地・作業条件</x:v>
      </x:c>
      <x:c r="F19" s="186" t="str">
        <x:v>ATT-TW-EV-007,009,010</x:v>
      </x:c>
    </x:row>
    <x:row r="20">
      <x:c r="A20" s="184" t="str">
        <x:v>ATT-TW-QA-16</x:v>
      </x:c>
      <x:c r="B20" s="185" t="str">
        <x:v>ATT-TW-7</x:v>
      </x:c>
      <x:c r="C20" s="185" t="str">
        <x:v>特殊サイズ/耐風圧/ガラス負荷</x:v>
      </x:c>
      <x:c r="D20" s="230" t="str">
        <x:v>COMPLETE_WITH_EXTERNAL_CHECK</x:v>
      </x:c>
      <x:c r="E20" s="185" t="str">
        <x:v>通常見積外のみ公式確認</x:v>
      </x:c>
      <x:c r="F20" s="186" t="str">
        <x:v>ATT-TW-EV-001,003,015</x:v>
      </x:c>
    </x:row>
    <x:row r="21">
      <x:c r="A21" s="184" t="str">
        <x:v>ATT-TW-QA-17</x:v>
      </x:c>
      <x:c r="B21" s="185" t="str">
        <x:v>ATT-TW-7</x:v>
      </x:c>
      <x:c r="C21" s="185" t="str">
        <x:v>Evidence</x:v>
      </x:c>
      <x:c r="D21" s="229" t="str">
        <x:v>COMPLETE</x:v>
      </x:c>
      <x:c r="E21" s="185" t="str">
        <x:v>ATT-TW-EV-001～015</x:v>
      </x:c>
      <x:c r="F21" s="186" t="str">
        <x:v>—</x:v>
      </x:c>
    </x:row>
    <x:row r="22">
      <x:c r="A22" s="187" t="str">
        <x:v>ATT-TW-QA-18</x:v>
      </x:c>
      <x:c r="B22" s="188" t="str">
        <x:v>Scope</x:v>
      </x:c>
      <x:c r="C22" s="188" t="str">
        <x:v>TW防火戸/浴室/引違い新設TW</x:v>
      </x:c>
      <x:c r="D22" s="231" t="str">
        <x:v>NOT_APPLICABLE</x:v>
      </x:c>
      <x:c r="E22" s="188" t="str">
        <x:v>候補非表示/別体系</x:v>
      </x:c>
      <x:c r="F22" s="189" t="str">
        <x:v>ATT-TW-EV-002,003,004</x:v>
      </x:c>
    </x:row>
  </x:sheetData>
  <x:mergeCells>
    <x:mergeCell ref="A1:F1"/>
    <x:mergeCell ref="A2:F2"/>
  </x:mergeCells>
  <x:conditionalFormatting sqref="D4:D20">
    <x:cfRule type="expression" dxfId="0" priority="1">
      <x:formula>D4="COMPLETE"</x:formula>
    </x:cfRule>
    <x:cfRule type="expression" dxfId="1" priority="2">
      <x:formula>D4="PARTIAL"</x:formula>
    </x:cfRule>
    <x:cfRule type="expression" dxfId="2" priority="3">
      <x:formula>D4="UNCONFIRMED"</x:formula>
    </x:cfRule>
    <x:cfRule type="expression" dxfId="3" priority="4">
      <x:formula>D4="NOT_APPLICABLE"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00" hidden="0" customWidth="1"/>
    <x:col min="4" max="4" width="30" hidden="0" customWidth="1"/>
    <x:col min="5" max="5" width="24" hidden="0" customWidth="1"/>
    <x:col min="6" max="6" width="18" hidden="0" customWidth="1"/>
  </x:cols>
  <x:sheetData>
    <x:row r="1" ht="28" customHeight="1">
      <x:c r="A1" s="178" t="str">
        <x:v>04A_開口構成｜アタッチ枠TW</x:v>
      </x:c>
      <x:c r="B1" s="178"/>
      <x:c r="C1" s="178"/>
      <x:c r="D1" s="178"/>
      <x:c r="E1" s="178"/>
      <x:c r="F1" s="4"/>
    </x:row>
    <x:row r="2" ht="34" customHeight="1">
      <x:c r="A2" s="11"/>
      <x:c r="B2" s="11"/>
      <x:c r="C2" s="11"/>
      <x:c r="D2" s="11"/>
      <x:c r="E2" s="11"/>
      <x:c r="F2" s="11"/>
    </x:row>
    <x:row r="3">
      <x:c r="A3" s="181" t="str">
        <x:v>opening_configuration_id</x:v>
      </x:c>
      <x:c r="B3" s="182" t="str">
        <x:v>名称</x:v>
      </x:c>
      <x:c r="C3" s="182" t="str">
        <x:v>扱い</x:v>
      </x:c>
      <x:c r="D3" s="182" t="str">
        <x:v>status</x:v>
      </x:c>
      <x:c r="E3" s="183" t="str">
        <x:v>evidence</x:v>
      </x:c>
    </x:row>
    <x:row r="4" ht="30" customHeight="1">
      <x:c r="A4" s="196" t="str">
        <x:v>SINGLE</x:v>
      </x:c>
      <x:c r="B4" s="205" t="str">
        <x:v>単窓</x:v>
      </x:c>
      <x:c r="C4" s="205" t="str">
        <x:v>TW窓種参照</x:v>
      </x:c>
      <x:c r="D4" s="205" t="str">
        <x:v>COMPLETE</x:v>
      </x:c>
      <x:c r="E4" s="197" t="str">
        <x:v>ATT-TW-EV-004</x:v>
      </x:c>
      <x:c r="F4" s="34"/>
    </x:row>
    <x:row r="5">
      <x:c r="A5" s="184" t="str">
        <x:v>COUPLED</x:v>
      </x:c>
      <x:c r="B5" s="185" t="str">
        <x:v>連窓</x:v>
      </x:c>
      <x:c r="C5" s="185" t="str">
        <x:v>アタッチ枠側の連窓方立を使用。TW別手配側では方立をTW商品として参照しない</x:v>
      </x:c>
      <x:c r="D5" s="185" t="str">
        <x:v>COMPLETE_WITH_EXTERNAL_CHECK</x:v>
      </x:c>
      <x:c r="E5" s="186" t="str">
        <x:v>ATT-TW-EV-004,015</x:v>
      </x:c>
      <x:c r="F5" s="37"/>
    </x:row>
    <x:row r="6">
      <x:c r="A6" s="187" t="str">
        <x:v>STACKED</x:v>
      </x:c>
      <x:c r="B6" s="188" t="str">
        <x:v>段窓</x:v>
      </x:c>
      <x:c r="C6" s="188" t="str">
        <x:v>アタッチ枠側の段窓無目を使用。TW別手配側では無目をTW商品として参照しない</x:v>
      </x:c>
      <x:c r="D6" s="188" t="str">
        <x:v>COMPLETE_WITH_EXTERNAL_CHECK</x:v>
      </x:c>
      <x:c r="E6" s="189" t="str">
        <x:v>ATT-TW-EV-004,015</x:v>
      </x:c>
      <x:c r="F6" s="37"/>
    </x:row>
    <x:row r="7">
      <x:c r="A7" s="38"/>
      <x:c r="B7" s="39"/>
      <x:c r="C7" s="39"/>
      <x:c r="D7" s="39"/>
      <x:c r="E7" s="39"/>
      <x:c r="F7" s="40"/>
    </x:row>
  </x:sheetData>
  <x:mergeCells>
    <x:mergeCell ref="A1:F1"/>
    <x:mergeCell ref="A2:F2"/>
    <x:mergeCell ref="A1:E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2" hidden="0" customWidth="1"/>
    <x:col min="4" max="4" width="22" hidden="0" customWidth="1"/>
    <x:col min="5" max="5" width="44" hidden="0" customWidth="1"/>
    <x:col min="6" max="6" width="28" hidden="0" customWidth="1"/>
    <x:col min="7" max="7" width="66" hidden="0" customWidth="1"/>
  </x:cols>
  <x:sheetData>
    <x:row r="1">
      <x:c r="A1" s="199" t="str">
        <x:v>11_見積入力テスト｜アタッチ枠（TW用）</x:v>
      </x:c>
      <x:c r="B1" s="199"/>
      <x:c r="C1" s="199"/>
      <x:c r="D1" s="199"/>
      <x:c r="E1" s="199"/>
      <x:c r="F1" s="199"/>
      <x:c r="G1" s="199"/>
    </x:row>
    <x:row r="2">
      <x:c r="A2" s="232" t="str">
        <x:v>例：既設単体サッシ → 横すべり出し窓（グレモン）。TW本体の最終サイズ可否はTW正本へ照会する参照型テスト。</x:v>
      </x:c>
      <x:c r="B2" s="232"/>
      <x:c r="C2" s="232"/>
      <x:c r="D2" s="232"/>
      <x:c r="E2" s="232"/>
      <x:c r="F2" s="232"/>
      <x:c r="G2" s="232"/>
    </x:row>
    <x:row r="3">
      <x:c r="A3" s="90"/>
      <x:c r="B3" s="91"/>
      <x:c r="C3" s="92"/>
      <x:c r="D3" s="91"/>
      <x:c r="E3" s="91"/>
      <x:c r="F3" s="93"/>
    </x:row>
    <x:row r="4">
      <x:c r="A4" s="192" t="str">
        <x:v>項目</x:v>
      </x:c>
      <x:c r="B4" s="192" t="str">
        <x:v>入力/算出</x:v>
      </x:c>
      <x:c r="C4" s="122"/>
      <x:c r="D4" s="192" t="str">
        <x:v>判定</x:v>
      </x:c>
      <x:c r="E4" s="192" t="str">
        <x:v>結果</x:v>
      </x:c>
      <x:c r="F4" s="192" t="str">
        <x:v>根拠</x:v>
      </x:c>
      <x:c r="G4" s="192" t="str">
        <x:v>備考</x:v>
      </x:c>
    </x:row>
    <x:row r="5">
      <x:c r="A5" s="122" t="str">
        <x:v>installation_system</x:v>
      </x:c>
      <x:c r="B5" s="122" t="str">
        <x:v>RPL_ATT_TW</x:v>
      </x:c>
      <x:c r="C5" s="122"/>
      <x:c r="D5" s="122" t="str">
        <x:v>既設互換</x:v>
      </x:c>
      <x:c r="E5" s="122" t="str">
        <x:v>可</x:v>
      </x:c>
      <x:c r="F5" s="122" t="str">
        <x:v>ATT-TW-EV-007</x:v>
      </x:c>
      <x:c r="G5" s="122" t="str">
        <x:v>単体サッシ</x:v>
      </x:c>
    </x:row>
    <x:row r="6">
      <x:c r="A6" s="122" t="str">
        <x:v>既設窓</x:v>
      </x:c>
      <x:c r="B6" s="122" t="str">
        <x:v>引違い窓 単体サッシ</x:v>
      </x:c>
      <x:c r="C6" s="122"/>
      <x:c r="D6" s="122" t="str">
        <x:v>枠見込み</x:v>
      </x:c>
      <x:c r="E6" s="122" t="str">
        <x:f>IF(B8&lt;=100,"可","不可")</x:f>
        <x:v>可</x:v>
      </x:c>
      <x:c r="F6" s="122" t="str">
        <x:v>ATT-TW-EV-008</x:v>
      </x:c>
      <x:c r="G6" s="122" t="str">
        <x:v>&lt;=100mm</x:v>
      </x:c>
    </x:row>
    <x:row r="7">
      <x:c r="A7" s="122" t="str">
        <x:v>既設材質</x:v>
      </x:c>
      <x:c r="B7" s="122" t="str">
        <x:v>アルミ</x:v>
      </x:c>
      <x:c r="C7" s="122"/>
      <x:c r="D7" s="122" t="str">
        <x:v>下枠</x:v>
      </x:c>
      <x:c r="E7" s="122" t="str">
        <x:f>IF(AND(B9&gt;=29,B9&lt;=48),"標準対応","スペーサー補正/要確認")</x:f>
        <x:v>標準対応</x:v>
      </x:c>
      <x:c r="F7" s="122" t="str">
        <x:v>ATT-TW-EV-010</x:v>
      </x:c>
      <x:c r="G7" s="122" t="str">
        <x:v>29～48mm</x:v>
      </x:c>
    </x:row>
    <x:row r="8">
      <x:c r="A8" s="122" t="str">
        <x:v>既設枠見込み</x:v>
      </x:c>
      <x:c r="B8" s="122" t="n">
        <x:v>90</x:v>
      </x:c>
      <x:c r="C8" s="122"/>
      <x:c r="D8" s="122" t="str">
        <x:v>寸法変換</x:v>
      </x:c>
      <x:c r="E8" s="122" t="str">
        <x:f>IF(AND(B14=B12-10,B15=B13-10,B16=B12-38,B17=B13-50),"OK","NG")</x:f>
        <x:v>OK</x:v>
      </x:c>
      <x:c r="F8" s="122" t="str">
        <x:v>ATT-TW-EV-006</x:v>
      </x:c>
      <x:c r="G8" s="122" t="str">
        <x:v>-10/-38/-50式</x:v>
      </x:c>
    </x:row>
    <x:row r="9">
      <x:c r="A9" s="122" t="str">
        <x:v>下枠立上り</x:v>
      </x:c>
      <x:c r="B9" s="122" t="n">
        <x:v>40</x:v>
      </x:c>
      <x:c r="C9" s="122"/>
      <x:c r="D9" s="122" t="str">
        <x:v>TW窓種参照</x:v>
      </x:c>
      <x:c r="E9" s="122" t="str">
        <x:v>TW正本ID存在・対応表○</x:v>
      </x:c>
      <x:c r="F9" s="122" t="str">
        <x:v>ATT-TW-EV-003,004</x:v>
      </x:c>
      <x:c r="G9" s="122" t="str">
        <x:v>SWT-LIX-TW-YOKO-GREMON</x:v>
      </x:c>
    </x:row>
    <x:row r="10">
      <x:c r="A10" s="122" t="str">
        <x:v>新設サッシ手配</x:v>
      </x:c>
      <x:c r="B10" s="123" t="str">
        <x:v>ATTACH_DEDICATED</x:v>
      </x:c>
      <x:c r="C10" s="122"/>
      <x:c r="D10" s="122" t="str">
        <x:v>TWサイズ</x:v>
      </x:c>
      <x:c r="E10" s="122" t="str">
        <x:v>PASS</x:v>
      </x:c>
      <x:c r="F10" s="122" t="str">
        <x:v>TW正本</x:v>
      </x:c>
      <x:c r="G10" s="122" t="str">
        <x:v>参照先のサイズ判定を実行</x:v>
      </x:c>
    </x:row>
    <x:row r="11">
      <x:c r="A11" s="122" t="str">
        <x:v>TW窓種ID</x:v>
      </x:c>
      <x:c r="B11" s="123" t="str">
        <x:v>SWT-LIX-TW-YOKO-GREMON</x:v>
      </x:c>
      <x:c r="C11" s="122"/>
      <x:c r="D11" s="122" t="str">
        <x:v>化粧カバー</x:v>
      </x:c>
      <x:c r="E11" s="122" t="str">
        <x:f>IF(AND(B14&gt;0,B15&gt;0),"候補表示","不可")</x:f>
        <x:v>候補表示</x:v>
      </x:c>
      <x:c r="F11" s="122" t="str">
        <x:v>ATT-TW-EV-011</x:v>
      </x:c>
      <x:c r="G11" s="122" t="str">
        <x:v>中を選択</x:v>
      </x:c>
    </x:row>
    <x:row r="12">
      <x:c r="A12" s="122" t="str">
        <x:v>採寸W (WS)</x:v>
      </x:c>
      <x:c r="B12" s="123" t="n">
        <x:v>1000</x:v>
      </x:c>
      <x:c r="C12" s="122"/>
      <x:c r="D12" s="122" t="str">
        <x:v>最終</x:v>
      </x:c>
      <x:c r="E12" s="122" t="str">
        <x:f>IF(AND(E5="可",E6="可",E7="標準対応",E8="OK",E10="PASS",E11="候補表示"),"通常候補として確定可","要確認")</x:f>
        <x:v>通常候補として確定可</x:v>
      </x:c>
      <x:c r="F12" s="122" t="str">
        <x:v>共通仕様</x:v>
      </x:c>
      <x:c r="G12" s="122" t="str">
        <x:v>特殊性能条件以外</x:v>
      </x:c>
    </x:row>
    <x:row r="13">
      <x:c r="A13" s="122" t="str">
        <x:v>採寸H (HS)</x:v>
      </x:c>
      <x:c r="B13" s="123" t="n">
        <x:v>800</x:v>
      </x:c>
      <x:c r="C13" s="122"/>
      <x:c r="D13" s="122"/>
      <x:c r="E13" s="122"/>
      <x:c r="F13" s="122"/>
      <x:c r="G13" s="122"/>
    </x:row>
    <x:row r="14">
      <x:c r="A14" s="122" t="str">
        <x:v>アタッチ枠出来寸W (WD)</x:v>
      </x:c>
      <x:c r="B14" s="122" t="n">
        <x:f>B12-10</x:f>
        <x:v>990</x:v>
      </x:c>
      <x:c r="C14" s="122"/>
      <x:c r="D14" s="122"/>
      <x:c r="E14" s="122"/>
      <x:c r="F14" s="122"/>
      <x:c r="G14" s="122"/>
    </x:row>
    <x:row r="15">
      <x:c r="A15" s="122" t="str">
        <x:v>アタッチ枠出来寸H (HD)</x:v>
      </x:c>
      <x:c r="B15" s="122" t="n">
        <x:f>B13-10</x:f>
        <x:v>790</x:v>
      </x:c>
      <x:c r="C15" s="122"/>
      <x:c r="D15" s="122"/>
      <x:c r="E15" s="122"/>
      <x:c r="F15" s="122"/>
      <x:c r="G15" s="122"/>
    </x:row>
    <x:row r="16">
      <x:c r="A16" s="122" t="str">
        <x:v>TW製作W</x:v>
      </x:c>
      <x:c r="B16" s="122" t="n">
        <x:f>B12-38</x:f>
        <x:v>962</x:v>
      </x:c>
      <x:c r="C16" s="122"/>
      <x:c r="D16" s="122"/>
      <x:c r="E16" s="122"/>
      <x:c r="F16" s="122"/>
      <x:c r="G16" s="122"/>
    </x:row>
    <x:row r="17">
      <x:c r="A17" s="122" t="str">
        <x:v>TW製作H</x:v>
      </x:c>
      <x:c r="B17" s="122" t="n">
        <x:f>B13-50</x:f>
        <x:v>750</x:v>
      </x:c>
      <x:c r="C17" s="122"/>
      <x:c r="D17" s="122"/>
      <x:c r="E17" s="122"/>
      <x:c r="F17" s="122"/>
      <x:c r="G17" s="122"/>
    </x:row>
    <x:row r="18">
      <x:c r="A18" s="122" t="str">
        <x:v>TW正本サイズ判定</x:v>
      </x:c>
      <x:c r="B18" s="122" t="str">
        <x:v>PASS（参照先ルール実行を想定）</x:v>
      </x:c>
      <x:c r="C18" s="122"/>
      <x:c r="D18" s="122"/>
      <x:c r="E18" s="122"/>
      <x:c r="F18" s="122"/>
      <x:c r="G18" s="122"/>
    </x:row>
    <x:row r="19">
      <x:c r="A19" s="122" t="str">
        <x:v>化粧カバー</x:v>
      </x:c>
      <x:c r="B19" s="122" t="str">
        <x:v>中</x:v>
      </x:c>
      <x:c r="C19" s="122"/>
      <x:c r="D19" s="122"/>
      <x:c r="E19" s="122"/>
      <x:c r="F19" s="122"/>
      <x:c r="G19" s="122"/>
    </x:row>
    <x:row r="20">
      <x:c r="A20" s="122" t="str">
        <x:v>TW本体仕様</x:v>
      </x:c>
      <x:c r="B20" s="122" t="str">
        <x:v>TW正本から取得</x:v>
      </x:c>
      <x:c r="C20" s="122"/>
      <x:c r="D20" s="122"/>
      <x:c r="E20" s="122"/>
      <x:c r="F20" s="122"/>
      <x:c r="G20" s="122"/>
    </x:row>
    <x:row r="21">
      <x:c r="A21" s="122" t="str">
        <x:v>リプラス側OP</x:v>
      </x:c>
      <x:c r="B21" s="122" t="str">
        <x:v>必要施工部材を09Aで解決</x:v>
      </x:c>
      <x:c r="C21" s="122"/>
      <x:c r="D21" s="122"/>
      <x:c r="E21" s="122"/>
      <x:c r="F21" s="122"/>
      <x:c r="G21" s="122"/>
    </x:row>
    <x:row r="22">
      <x:c r="A22" s="122" t="str">
        <x:v>最終</x:v>
      </x:c>
      <x:c r="B22" s="122" t="str"/>
      <x:c r="C22" s="122"/>
      <x:c r="D22" s="122"/>
      <x:c r="E22" s="122"/>
      <x:c r="F22" s="122"/>
      <x:c r="G22" s="122"/>
    </x:row>
  </x:sheetData>
  <x:mergeCells>
    <x:mergeCell ref="A1:F1"/>
    <x:mergeCell ref="A2:F2"/>
    <x:mergeCell ref="A1:G1"/>
    <x:mergeCell ref="A2:G2"/>
  </x:mergeCells>
  <x:dataValidations count="4">
    <x:dataValidation type="list" sqref="B6">
      <x:formula1>"RPL_ROOM_SLD,RPL_ROOM_VS_OP,RPL_ROOM_VS_CAM,RPL_ROOM_HS_OP,RPL_ROOM_HS_CAM,RPL_ROOM_DHFS,RPL_ROOM_FIX_OUT,RPL_ROOM_FIX_IN"</x:formula1>
    </x:dataValidation>
    <x:dataValidation type="list" sqref="B7">
      <x:formula1>"RPL_STD,RPL_BRIDGE"</x:formula1>
    </x:dataValidation>
    <x:dataValidation type="list" sqref="B8">
      <x:formula1>"2枚建,4枚建"</x:formula1>
    </x:dataValidation>
    <x:dataValidation type="list" sqref="B9">
      <x:formula1>"マド,テラス"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18" hidden="0" customWidth="1"/>
    <x:col min="8" max="8" width="24" hidden="0" customWidth="1"/>
    <x:col min="9" max="9" width="18" hidden="0" customWidth="1"/>
  </x:cols>
  <x:sheetData>
    <x:row r="1">
      <x:c r="A1" s="178" t="str">
        <x:v>10C_化粧カバー見付｜アタッチ枠TW専用</x:v>
      </x:c>
      <x:c r="B1" s="178"/>
      <x:c r="C1" s="178"/>
      <x:c r="D1" s="178"/>
      <x:c r="E1" s="178"/>
      <x:c r="F1" s="178"/>
      <x:c r="G1" s="178"/>
      <x:c r="H1" s="178"/>
      <x:c r="I1" s="127"/>
    </x:row>
    <x:row r="2" ht="40" customHeight="1">
      <x:c r="A2" s="179" t="str">
        <x:v>公式『化粧カバータイプ別 見付範囲』をアタッチ枠（TW用）専用値として登録。RPL_DIRECTの見付値を流用しない。</x:v>
      </x:c>
      <x:c r="B2" s="179"/>
      <x:c r="C2" s="179"/>
      <x:c r="D2" s="179"/>
      <x:c r="E2" s="179"/>
      <x:c r="F2" s="179"/>
      <x:c r="G2" s="179"/>
      <x:c r="H2" s="179"/>
      <x:c r="I2" s="133"/>
    </x:row>
    <x:row r="4">
      <x:c r="A4" s="181" t="str">
        <x:v>rule_id</x:v>
      </x:c>
      <x:c r="B4" s="182" t="str">
        <x:v>cover_type</x:v>
      </x:c>
      <x:c r="C4" s="182" t="str">
        <x:v>上枠見付_max</x:v>
      </x:c>
      <x:c r="D4" s="182" t="str">
        <x:v>下枠見付_max</x:v>
      </x:c>
      <x:c r="E4" s="182" t="str">
        <x:v>縦枠見付_max</x:v>
      </x:c>
      <x:c r="F4" s="182" t="str">
        <x:v>ui_action</x:v>
      </x:c>
      <x:c r="G4" s="182" t="str">
        <x:v>status</x:v>
      </x:c>
      <x:c r="H4" s="183" t="str">
        <x:v>evidence</x:v>
      </x:c>
      <x:c r="I4" s="143"/>
    </x:row>
    <x:row r="5">
      <x:c r="A5" s="184" t="str">
        <x:v>ATT-TW-COV-L</x:v>
      </x:c>
      <x:c r="B5" s="185" t="str">
        <x:v>大</x:v>
      </x:c>
      <x:c r="C5" s="185" t="n">
        <x:v>71.5</x:v>
      </x:c>
      <x:c r="D5" s="185" t="n">
        <x:v>91</x:v>
      </x:c>
      <x:c r="E5" s="185" t="n">
        <x:v>34</x:v>
      </x:c>
      <x:c r="F5" s="185" t="str">
        <x:v>条件内なら表示</x:v>
      </x:c>
      <x:c r="G5" s="185" t="str">
        <x:v>COMPLETE</x:v>
      </x:c>
      <x:c r="H5" s="186" t="str">
        <x:v>ATT-TW-EV-011</x:v>
      </x:c>
      <x:c r="I5" s="146"/>
    </x:row>
    <x:row r="6">
      <x:c r="A6" s="184" t="str">
        <x:v>ATT-TW-COV-M</x:v>
      </x:c>
      <x:c r="B6" s="185" t="str">
        <x:v>中</x:v>
      </x:c>
      <x:c r="C6" s="185" t="n">
        <x:v>36.5</x:v>
      </x:c>
      <x:c r="D6" s="185" t="n">
        <x:v>56</x:v>
      </x:c>
      <x:c r="E6" s="185" t="n">
        <x:v>34</x:v>
      </x:c>
      <x:c r="F6" s="185" t="str">
        <x:v>条件内なら表示</x:v>
      </x:c>
      <x:c r="G6" s="185" t="str">
        <x:v>COMPLETE</x:v>
      </x:c>
      <x:c r="H6" s="186" t="str">
        <x:v>ATT-TW-EV-011</x:v>
      </x:c>
      <x:c r="I6" s="146"/>
    </x:row>
    <x:row r="7">
      <x:c r="A7" s="187" t="str">
        <x:v>ATT-TW-COV-S</x:v>
      </x:c>
      <x:c r="B7" s="188" t="str">
        <x:v>小</x:v>
      </x:c>
      <x:c r="C7" s="188" t="n">
        <x:v>16.5</x:v>
      </x:c>
      <x:c r="D7" s="188" t="n">
        <x:v>36</x:v>
      </x:c>
      <x:c r="E7" s="188" t="n">
        <x:v>9</x:v>
      </x:c>
      <x:c r="F7" s="188" t="str">
        <x:v>条件内なら表示</x:v>
      </x:c>
      <x:c r="G7" s="188" t="str">
        <x:v>COMPLETE</x:v>
      </x:c>
      <x:c r="H7" s="189" t="str">
        <x:v>ATT-TW-EV-011</x:v>
      </x:c>
      <x:c r="I7" s="146"/>
    </x:row>
    <x:row r="8">
      <x:c r="A8" s="144"/>
      <x:c r="B8" s="145"/>
      <x:c r="C8" s="145"/>
      <x:c r="D8" s="145"/>
      <x:c r="E8" s="145"/>
      <x:c r="F8" s="145"/>
      <x:c r="G8" s="145"/>
      <x:c r="H8" s="145"/>
      <x:c r="I8" s="146"/>
    </x:row>
    <x:row r="9">
      <x:c r="A9" s="144"/>
      <x:c r="B9" s="145"/>
      <x:c r="C9" s="145"/>
      <x:c r="D9" s="145"/>
      <x:c r="E9" s="145"/>
      <x:c r="F9" s="145"/>
      <x:c r="G9" s="145"/>
      <x:c r="H9" s="145"/>
      <x:c r="I9" s="146"/>
    </x:row>
    <x:row r="10">
      <x:c r="A10" s="144"/>
      <x:c r="B10" s="145"/>
      <x:c r="C10" s="145"/>
      <x:c r="D10" s="145"/>
      <x:c r="E10" s="145"/>
      <x:c r="F10" s="145"/>
      <x:c r="G10" s="145"/>
      <x:c r="H10" s="145"/>
      <x:c r="I10" s="146"/>
    </x:row>
    <x:row r="11">
      <x:c r="A11" s="144"/>
      <x:c r="B11" s="145"/>
      <x:c r="C11" s="145"/>
      <x:c r="D11" s="145"/>
      <x:c r="E11" s="145"/>
      <x:c r="F11" s="145"/>
      <x:c r="G11" s="145"/>
      <x:c r="H11" s="145"/>
      <x:c r="I11" s="146"/>
    </x:row>
    <x:row r="12">
      <x:c r="A12" s="144"/>
      <x:c r="B12" s="145"/>
      <x:c r="C12" s="145"/>
      <x:c r="D12" s="145"/>
      <x:c r="E12" s="145"/>
      <x:c r="F12" s="145"/>
      <x:c r="G12" s="145"/>
      <x:c r="H12" s="145"/>
      <x:c r="I12" s="146"/>
    </x:row>
    <x:row r="13">
      <x:c r="A13" s="144"/>
      <x:c r="B13" s="145"/>
      <x:c r="C13" s="145"/>
      <x:c r="D13" s="145"/>
      <x:c r="E13" s="145"/>
      <x:c r="F13" s="145"/>
      <x:c r="G13" s="145"/>
      <x:c r="H13" s="145"/>
      <x:c r="I13" s="146"/>
    </x:row>
    <x:row r="14">
      <x:c r="A14" s="144"/>
      <x:c r="B14" s="145"/>
      <x:c r="C14" s="145"/>
      <x:c r="D14" s="145"/>
      <x:c r="E14" s="145"/>
      <x:c r="F14" s="145"/>
      <x:c r="G14" s="145"/>
      <x:c r="H14" s="145"/>
      <x:c r="I14" s="146"/>
    </x:row>
    <x:row r="15">
      <x:c r="A15" s="144"/>
      <x:c r="B15" s="145"/>
      <x:c r="C15" s="145"/>
      <x:c r="D15" s="145"/>
      <x:c r="E15" s="145"/>
      <x:c r="F15" s="145"/>
      <x:c r="G15" s="145"/>
      <x:c r="H15" s="145"/>
      <x:c r="I15" s="146"/>
    </x:row>
    <x:row r="16">
      <x:c r="A16" s="147"/>
      <x:c r="B16" s="148"/>
      <x:c r="C16" s="148"/>
      <x:c r="D16" s="148"/>
      <x:c r="E16" s="148"/>
      <x:c r="F16" s="148"/>
      <x:c r="G16" s="148"/>
      <x:c r="H16" s="148"/>
      <x:c r="I16" s="149"/>
    </x:row>
  </x:sheetData>
  <x:mergeCells>
    <x:mergeCell ref="A1:I1"/>
    <x:mergeCell ref="A2:I2"/>
    <x:mergeCell ref="A1:H1"/>
    <x:mergeCell ref="A2:H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24" hidden="0" customWidth="1"/>
    <x:col min="5" max="5" width="54" hidden="0" customWidth="1"/>
    <x:col min="6" max="6" width="38" hidden="0" customWidth="1"/>
    <x:col min="7" max="7" width="30" hidden="0" customWidth="1"/>
    <x:col min="8" max="8" width="22" hidden="0" customWidth="1"/>
    <x:col min="9" max="9" width="24" hidden="0" customWidth="1"/>
  </x:cols>
  <x:sheetData>
    <x:row r="1">
      <x:c r="A1" s="178" t="str">
        <x:v>02B_参照商品｜TW正本</x:v>
      </x:c>
      <x:c r="B1" s="178"/>
      <x:c r="C1" s="178"/>
      <x:c r="D1" s="178"/>
      <x:c r="E1" s="178"/>
      <x:c r="F1" s="178"/>
      <x:c r="G1" s="178"/>
      <x:c r="H1" s="178"/>
      <x:c r="I1" s="178"/>
    </x:row>
    <x:row r="3">
      <x:c r="A3" s="181" t="str">
        <x:v>reference_id</x:v>
      </x:c>
      <x:c r="B3" s="182" t="str">
        <x:v>manufacturer</x:v>
      </x:c>
      <x:c r="C3" s="182" t="str">
        <x:v>series</x:v>
      </x:c>
      <x:c r="D3" s="182" t="str">
        <x:v>referenced_series_id</x:v>
      </x:c>
      <x:c r="E3" s="182" t="str">
        <x:v>referenced_master_id</x:v>
      </x:c>
      <x:c r="F3" s="182" t="str">
        <x:v>referenced_master_title</x:v>
      </x:c>
      <x:c r="G3" s="182" t="str">
        <x:v>reference_role</x:v>
      </x:c>
      <x:c r="H3" s="182" t="str">
        <x:v>status</x:v>
      </x:c>
      <x:c r="I3" s="183" t="str">
        <x:v>evidence</x:v>
      </x:c>
    </x:row>
    <x:row r="4">
      <x:c r="A4" s="184" t="str">
        <x:v>REF-TW-MASTER</x:v>
      </x:c>
      <x:c r="B4" s="185" t="str">
        <x:v>LIXIL</x:v>
      </x:c>
      <x:c r="C4" s="185" t="str">
        <x:v>TW</x:v>
      </x:c>
      <x:c r="D4" s="185" t="str">
        <x:v>SER-LIX-TW</x:v>
      </x:c>
      <x:c r="E4" s="185" t="str">
        <x:v>1ordbcPQS7XhptLMjRON2oxmdsPhs-aY-Wm7quPHvM9U</x:v>
      </x:c>
      <x:c r="F4" s="185" t="str">
        <x:v>サッシ商品マスター_v0.1</x:v>
      </x:c>
      <x:c r="G4" s="185" t="str">
        <x:v>SINGLE_SOURCE_OF_TRUTH</x:v>
      </x:c>
      <x:c r="H4" s="185" t="str">
        <x:v>COMPLETE</x:v>
      </x:c>
      <x:c r="I4" s="186" t="str">
        <x:v>ATT-TW-EV-003</x:v>
      </x:c>
    </x:row>
    <x:row r="5">
      <x:c r="A5" s="187" t="str">
        <x:v>REF-TW-FIRE</x:v>
      </x:c>
      <x:c r="B5" s="188" t="str">
        <x:v>LIXIL</x:v>
      </x:c>
      <x:c r="C5" s="188" t="str">
        <x:v>TW防火戸</x:v>
      </x:c>
      <x:c r="D5" s="188" t="str">
        <x:v>SER-LIX-TW-F</x:v>
      </x:c>
      <x:c r="E5" s="188" t="str">
        <x:v>—</x:v>
      </x:c>
      <x:c r="F5" s="188" t="str">
        <x:v>別商品体系</x:v>
      </x:c>
      <x:c r="G5" s="188" t="str">
        <x:v>NOT_REFERENCED</x:v>
      </x:c>
      <x:c r="H5" s="188" t="str">
        <x:v>NOT_APPLICABLE</x:v>
      </x:c>
      <x:c r="I5" s="189" t="str">
        <x:v>ATT-TW-EV-001,003</x:v>
      </x:c>
    </x:row>
  </x:sheetData>
  <x:mergeCells>
    <x:mergeCell ref="A1:I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64" hidden="0" customWidth="1"/>
    <x:col min="4" max="4" width="64" hidden="0" customWidth="1"/>
    <x:col min="5" max="5" width="18" hidden="0" customWidth="1"/>
    <x:col min="6" max="6" width="22" hidden="0" customWidth="1"/>
  </x:cols>
  <x:sheetData>
    <x:row r="1">
      <x:c r="A1" s="178" t="str">
        <x:v>02C_新設サッシ手配方式｜アタッチ枠TW</x:v>
      </x:c>
      <x:c r="B1" s="178"/>
      <x:c r="C1" s="178"/>
      <x:c r="D1" s="178"/>
      <x:c r="E1" s="178"/>
      <x:c r="F1" s="178"/>
    </x:row>
    <x:row r="3">
      <x:c r="A3" s="181" t="str">
        <x:v>supply_mode_id</x:v>
      </x:c>
      <x:c r="B3" s="182" t="str">
        <x:v>公式解釈</x:v>
      </x:c>
      <x:c r="C3" s="182" t="str">
        <x:v>内容</x:v>
      </x:c>
      <x:c r="D3" s="182" t="str">
        <x:v>追加部材/処理</x:v>
      </x:c>
      <x:c r="E3" s="182" t="str">
        <x:v>status</x:v>
      </x:c>
      <x:c r="F3" s="183" t="str">
        <x:v>evidence</x:v>
      </x:c>
    </x:row>
    <x:row r="4">
      <x:c r="A4" s="184" t="str">
        <x:v>ATTACH_DEDICATED</x:v>
      </x:c>
      <x:c r="B4" s="185" t="str">
        <x:v>アタッチ枠用新設サッシ</x:v>
      </x:c>
      <x:c r="C4" s="185" t="str">
        <x:v>リプラス側で専用品設定がある品種</x:v>
      </x:c>
      <x:c r="D4" s="185" t="str">
        <x:v>専用アタッチ枠体系</x:v>
      </x:c>
      <x:c r="E4" s="185" t="str">
        <x:v>COMPLETE</x:v>
      </x:c>
      <x:c r="F4" s="186" t="str">
        <x:v>ATT-TW-EV-002,004</x:v>
      </x:c>
    </x:row>
    <x:row r="5">
      <x:c r="A5" s="187" t="str">
        <x:v>TW_SEPARATE</x:v>
      </x:c>
      <x:c r="B5" s="188" t="str">
        <x:v>TWを別途手配</x:v>
      </x:c>
      <x:c r="C5" s="188" t="str">
        <x:v>TWシリーズの釘打ちフィンをカットして組合せ</x:v>
      </x:c>
      <x:c r="D5" s="188" t="str">
        <x:v>釘打ちフィンカット＋アタッチ枠連結ねじ別途手配</x:v>
      </x:c>
      <x:c r="E5" s="188" t="str">
        <x:v>COMPLETE</x:v>
      </x:c>
      <x:c r="F5" s="189" t="str">
        <x:v>ATT-TW-EV-002,004</x:v>
      </x:c>
    </x:row>
  </x:sheetData>
  <x:mergeCells>
    <x:mergeCell ref="A1:F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50" hidden="0" customWidth="1"/>
    <x:col min="4" max="4" width="26" hidden="0" customWidth="1"/>
    <x:col min="5" max="5" width="14" hidden="0" customWidth="1"/>
    <x:col min="6" max="6" width="70" hidden="0" customWidth="1"/>
    <x:col min="7" max="7" width="18" hidden="0" customWidth="1"/>
    <x:col min="8" max="8" width="24" hidden="0" customWidth="1"/>
  </x:cols>
  <x:sheetData>
    <x:row r="1">
      <x:c r="A1" s="178" t="str">
        <x:v>03C_対応TW窓種｜公式対応表 → TW正本ID</x:v>
      </x:c>
      <x:c r="B1" s="178"/>
      <x:c r="C1" s="178"/>
      <x:c r="D1" s="178"/>
      <x:c r="E1" s="178"/>
      <x:c r="F1" s="178"/>
      <x:c r="G1" s="178"/>
      <x:c r="H1" s="178"/>
    </x:row>
    <x:row r="2" ht="40" customHeight="1">
      <x:c r="A2" s="179" t="str">
        <x:v>TW正本の旧汎用IDは参照せず、有効な正式分割IDへ接続。TW別手配時は釘打ちフィンカット＋連結ねじが必要。</x:v>
      </x:c>
      <x:c r="B2" s="179"/>
      <x:c r="C2" s="179"/>
      <x:c r="D2" s="179"/>
      <x:c r="E2" s="179"/>
      <x:c r="F2" s="179"/>
      <x:c r="G2" s="179"/>
      <x:c r="H2" s="179"/>
    </x:row>
    <x:row r="4">
      <x:c r="A4" s="181" t="str">
        <x:v>rule_id</x:v>
      </x:c>
      <x:c r="B4" s="182" t="str">
        <x:v>referenced_window_id</x:v>
      </x:c>
      <x:c r="C4" s="182" t="str">
        <x:v>TW正式窓種名</x:v>
      </x:c>
      <x:c r="D4" s="182" t="str">
        <x:v>default_supply_mode</x:v>
      </x:c>
      <x:c r="E4" s="182" t="str">
        <x:v>supported</x:v>
      </x:c>
      <x:c r="F4" s="182" t="str">
        <x:v>公式対応メモ</x:v>
      </x:c>
      <x:c r="G4" s="182" t="str">
        <x:v>status</x:v>
      </x:c>
      <x:c r="H4" s="183" t="str">
        <x:v>evidence</x:v>
      </x:c>
    </x:row>
    <x:row r="5">
      <x:c r="A5" s="184" t="str">
        <x:v>ATT-TW-SW-001</x:v>
      </x:c>
      <x:c r="B5" s="185" t="str">
        <x:v>SWT-LIX-TW-TATE-GREMON-T</x:v>
      </x:c>
      <x:c r="C5" s="185" t="str">
        <x:v>縦すべり出し窓 T（グレモン）</x:v>
      </x:c>
      <x:c r="D5" s="185" t="str">
        <x:v>ATTACH_DEDICATED</x:v>
      </x:c>
      <x:c r="E5" s="203" t="b">
        <x:v>1</x:v>
      </x:c>
      <x:c r="F5" s="185" t="str">
        <x:v>専用品○ / TW別手配○</x:v>
      </x:c>
      <x:c r="G5" s="185" t="str">
        <x:v>COMPLETE</x:v>
      </x:c>
      <x:c r="H5" s="186" t="str">
        <x:v>ATT-TW-EV-003,004</x:v>
      </x:c>
    </x:row>
    <x:row r="6">
      <x:c r="A6" s="184" t="str">
        <x:v>ATT-TW-SW-002</x:v>
      </x:c>
      <x:c r="B6" s="185" t="str">
        <x:v>SWT-LIX-TW-TATE-GREMON-TF</x:v>
      </x:c>
      <x:c r="C6" s="185" t="str">
        <x:v>縦すべり出し窓 TF（グレモン）</x:v>
      </x:c>
      <x:c r="D6" s="185" t="str">
        <x:v>ATTACH_DEDICATED</x:v>
      </x:c>
      <x:c r="E6" s="203" t="b">
        <x:v>1</x:v>
      </x:c>
      <x:c r="F6" s="185" t="str">
        <x:v>専用品は内押縁のみ / TW別手配○</x:v>
      </x:c>
      <x:c r="G6" s="185" t="str">
        <x:v>COMPLETE</x:v>
      </x:c>
      <x:c r="H6" s="186" t="str">
        <x:v>ATT-TW-EV-003,004</x:v>
      </x:c>
    </x:row>
    <x:row r="7">
      <x:c r="A7" s="184" t="str">
        <x:v>ATT-TW-SW-003</x:v>
      </x:c>
      <x:c r="B7" s="185" t="str">
        <x:v>SWT-LIX-TW-TATE-GREMON-TFT</x:v>
      </x:c>
      <x:c r="C7" s="185" t="str">
        <x:v>縦すべり出し窓 TFT（グレモン）</x:v>
      </x:c>
      <x:c r="D7" s="185" t="str">
        <x:v>ATTACH_DEDICATED</x:v>
      </x:c>
      <x:c r="E7" s="203" t="b">
        <x:v>1</x:v>
      </x:c>
      <x:c r="F7" s="185" t="str">
        <x:v>専用品は内押縁のみ / TW別手配○</x:v>
      </x:c>
      <x:c r="G7" s="185" t="str">
        <x:v>COMPLETE</x:v>
      </x:c>
      <x:c r="H7" s="186" t="str">
        <x:v>ATT-TW-EV-003,004</x:v>
      </x:c>
    </x:row>
    <x:row r="8">
      <x:c r="A8" s="184" t="str">
        <x:v>ATT-TW-SW-004</x:v>
      </x:c>
      <x:c r="B8" s="185" t="str">
        <x:v>SWT-LIX-TW-YOKO-GREMON</x:v>
      </x:c>
      <x:c r="C8" s="185" t="str">
        <x:v>横すべり出し窓（グレモン）</x:v>
      </x:c>
      <x:c r="D8" s="185" t="str">
        <x:v>ATTACH_DEDICATED</x:v>
      </x:c>
      <x:c r="E8" s="203" t="b">
        <x:v>1</x:v>
      </x:c>
      <x:c r="F8" s="185" t="str">
        <x:v>専用品○ / TW別手配○</x:v>
      </x:c>
      <x:c r="G8" s="185" t="str">
        <x:v>COMPLETE</x:v>
      </x:c>
      <x:c r="H8" s="186" t="str">
        <x:v>ATT-TW-EV-003,004</x:v>
      </x:c>
    </x:row>
    <x:row r="9">
      <x:c r="A9" s="184" t="str">
        <x:v>ATT-TW-SW-005</x:v>
      </x:c>
      <x:c r="B9" s="185" t="str">
        <x:v>SWT-LIX-TW-HIGH-YOKO</x:v>
      </x:c>
      <x:c r="C9" s="185" t="str">
        <x:v>高所用横すべり出し窓</x:v>
      </x:c>
      <x:c r="D9" s="185" t="str">
        <x:v>ATTACH_DEDICATED</x:v>
      </x:c>
      <x:c r="E9" s="203" t="b">
        <x:v>1</x:v>
      </x:c>
      <x:c r="F9" s="185" t="str">
        <x:v>専用品○ / TW別手配○</x:v>
      </x:c>
      <x:c r="G9" s="185" t="str">
        <x:v>COMPLETE</x:v>
      </x:c>
      <x:c r="H9" s="186" t="str">
        <x:v>ATT-TW-EV-003,004</x:v>
      </x:c>
    </x:row>
    <x:row r="10">
      <x:c r="A10" s="184" t="str">
        <x:v>ATT-TW-SW-006</x:v>
      </x:c>
      <x:c r="B10" s="185" t="str">
        <x:v>SWT-LIX-TW-AGE-SAGE</x:v>
      </x:c>
      <x:c r="C10" s="185" t="str">
        <x:v>上げ下げ窓</x:v>
      </x:c>
      <x:c r="D10" s="185" t="str">
        <x:v>ATTACH_DEDICATED</x:v>
      </x:c>
      <x:c r="E10" s="203" t="b">
        <x:v>1</x:v>
      </x:c>
      <x:c r="F10" s="185" t="str">
        <x:v>専用品○ / TW別手配○</x:v>
      </x:c>
      <x:c r="G10" s="185" t="str">
        <x:v>COMPLETE</x:v>
      </x:c>
      <x:c r="H10" s="186" t="str">
        <x:v>ATT-TW-EV-003,004</x:v>
      </x:c>
    </x:row>
    <x:row r="11">
      <x:c r="A11" s="184" t="str">
        <x:v>ATT-TW-SW-007</x:v>
      </x:c>
      <x:c r="B11" s="185" t="str">
        <x:v>SWT-LIX-TW-FIX-IN-MADO</x:v>
      </x:c>
      <x:c r="C11" s="185" t="str">
        <x:v>FIX窓（内押縁タイプ）マド</x:v>
      </x:c>
      <x:c r="D11" s="185" t="str">
        <x:v>ATTACH_DEDICATED</x:v>
      </x:c>
      <x:c r="E11" s="203" t="b">
        <x:v>1</x:v>
      </x:c>
      <x:c r="F11" s="185" t="str">
        <x:v>FIX内押縁タイプとして専用品○ / TW別手配○</x:v>
      </x:c>
      <x:c r="G11" s="185" t="str">
        <x:v>COMPLETE</x:v>
      </x:c>
      <x:c r="H11" s="186" t="str">
        <x:v>ATT-TW-EV-003,004</x:v>
      </x:c>
    </x:row>
    <x:row r="12">
      <x:c r="A12" s="184" t="str">
        <x:v>ATT-TW-SW-008</x:v>
      </x:c>
      <x:c r="B12" s="185" t="str">
        <x:v>SWT-LIX-TW-FIX-IN-TR-ZAIRAI</x:v>
      </x:c>
      <x:c r="C12" s="185" t="str">
        <x:v>FIX窓（内押縁タイプ）在来テラス</x:v>
      </x:c>
      <x:c r="D12" s="185" t="str">
        <x:v>TW_SEPARATE</x:v>
      </x:c>
      <x:c r="E12" s="203" t="b">
        <x:v>1</x:v>
      </x:c>
      <x:c r="F12" s="185" t="str">
        <x:v>TW正本FIX内押縁系列として参照</x:v>
      </x:c>
      <x:c r="G12" s="185" t="str">
        <x:v>COMPLETE</x:v>
      </x:c>
      <x:c r="H12" s="186" t="str">
        <x:v>ATT-TW-EV-003,004</x:v>
      </x:c>
    </x:row>
    <x:row r="13">
      <x:c r="A13" s="184" t="str">
        <x:v>ATT-TW-SW-009</x:v>
      </x:c>
      <x:c r="B13" s="185" t="str">
        <x:v>SWT-LIX-TW-FIX-IN-TR-204</x:v>
      </x:c>
      <x:c r="C13" s="185" t="str">
        <x:v>FIX窓（内押縁タイプ）204テラス</x:v>
      </x:c>
      <x:c r="D13" s="185" t="str">
        <x:v>TW_SEPARATE</x:v>
      </x:c>
      <x:c r="E13" s="203" t="b">
        <x:v>1</x:v>
      </x:c>
      <x:c r="F13" s="185" t="str">
        <x:v>TW正本FIX内押縁系列として参照</x:v>
      </x:c>
      <x:c r="G13" s="185" t="str">
        <x:v>COMPLETE</x:v>
      </x:c>
      <x:c r="H13" s="186" t="str">
        <x:v>ATT-TW-EV-003,004</x:v>
      </x:c>
    </x:row>
    <x:row r="14">
      <x:c r="A14" s="184" t="str">
        <x:v>ATT-TW-SW-010</x:v>
      </x:c>
      <x:c r="B14" s="185" t="str">
        <x:v>SWT-LIX-TW-FIX-IN-TR-204-STEP</x:v>
      </x:c>
      <x:c r="C14" s="185" t="str">
        <x:v>FIX窓（内押縁タイプ）204テラス単純段差</x:v>
      </x:c>
      <x:c r="D14" s="185" t="str">
        <x:v>TW_SEPARATE</x:v>
      </x:c>
      <x:c r="E14" s="203" t="b">
        <x:v>1</x:v>
      </x:c>
      <x:c r="F14" s="185" t="str">
        <x:v>TW正本FIX内押縁系列として参照</x:v>
      </x:c>
      <x:c r="G14" s="185" t="str">
        <x:v>COMPLETE</x:v>
      </x:c>
      <x:c r="H14" s="186" t="str">
        <x:v>ATT-TW-EV-003,004</x:v>
      </x:c>
    </x:row>
    <x:row r="15">
      <x:c r="A15" s="184" t="str">
        <x:v>ATT-TW-SW-011</x:v>
      </x:c>
      <x:c r="B15" s="185" t="str">
        <x:v>SWT-LIX-TW-TATE-OP-T</x:v>
      </x:c>
      <x:c r="C15" s="185" t="str">
        <x:v>縦すべり出し窓 T（オペレーター）</x:v>
      </x:c>
      <x:c r="D15" s="185" t="str">
        <x:v>TW_SEPARATE</x:v>
      </x:c>
      <x:c r="E15" s="203" t="b">
        <x:v>1</x:v>
      </x:c>
      <x:c r="F15" s="185" t="str">
        <x:v>専用品設定なし / TW別手配○</x:v>
      </x:c>
      <x:c r="G15" s="185" t="str">
        <x:v>COMPLETE</x:v>
      </x:c>
      <x:c r="H15" s="186" t="str">
        <x:v>ATT-TW-EV-003,004</x:v>
      </x:c>
    </x:row>
    <x:row r="16">
      <x:c r="A16" s="184" t="str">
        <x:v>ATT-TW-SW-012</x:v>
      </x:c>
      <x:c r="B16" s="185" t="str">
        <x:v>SWT-LIX-TW-YOKO-OP</x:v>
      </x:c>
      <x:c r="C16" s="185" t="str">
        <x:v>横すべり出し窓（オペレーター）</x:v>
      </x:c>
      <x:c r="D16" s="185" t="str">
        <x:v>TW_SEPARATE</x:v>
      </x:c>
      <x:c r="E16" s="203" t="b">
        <x:v>1</x:v>
      </x:c>
      <x:c r="F16" s="185" t="str">
        <x:v>専用品設定なし / TW別手配○</x:v>
      </x:c>
      <x:c r="G16" s="185" t="str">
        <x:v>COMPLETE</x:v>
      </x:c>
      <x:c r="H16" s="186" t="str">
        <x:v>ATT-TW-EV-003,004</x:v>
      </x:c>
    </x:row>
    <x:row r="17">
      <x:c r="A17" s="187" t="str">
        <x:v>ATT-TW-SW-013</x:v>
      </x:c>
      <x:c r="B17" s="188" t="str">
        <x:v>SWT-LIX-TW-GRILLE-AGE</x:v>
      </x:c>
      <x:c r="C17" s="188" t="str">
        <x:v>面格子付上げ下げ窓</x:v>
      </x:c>
      <x:c r="D17" s="188" t="str">
        <x:v>TW_SEPARATE</x:v>
      </x:c>
      <x:c r="E17" s="204" t="b">
        <x:v>1</x:v>
      </x:c>
      <x:c r="F17" s="188" t="str">
        <x:v>専用品設定なし / TW別手配○</x:v>
      </x:c>
      <x:c r="G17" s="188" t="str">
        <x:v>COMPLETE</x:v>
      </x:c>
      <x:c r="H17" s="189" t="str">
        <x:v>ATT-TW-EV-003,004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0" hidden="0" customWidth="1"/>
    <x:col min="4" max="4" width="70" hidden="0" customWidth="1"/>
    <x:col min="5" max="5" width="44" hidden="0" customWidth="1"/>
    <x:col min="6" max="6" width="18" hidden="0" customWidth="1"/>
    <x:col min="7" max="7" width="24" hidden="0" customWidth="1"/>
  </x:cols>
  <x:sheetData>
    <x:row r="1">
      <x:c r="A1" s="178" t="str">
        <x:v>03D_TW参照制限｜非対応・構造部材</x:v>
      </x:c>
      <x:c r="B1" s="178"/>
      <x:c r="C1" s="178"/>
      <x:c r="D1" s="178"/>
      <x:c r="E1" s="178"/>
      <x:c r="F1" s="178"/>
      <x:c r="G1" s="178"/>
    </x:row>
    <x:row r="3">
      <x:c r="A3" s="181" t="str">
        <x:v>rule_id</x:v>
      </x:c>
      <x:c r="B3" s="182" t="str">
        <x:v>TW/構造対象</x:v>
      </x:c>
      <x:c r="C3" s="182" t="str">
        <x:v>result</x:v>
      </x:c>
      <x:c r="D3" s="182" t="str">
        <x:v>reason</x:v>
      </x:c>
      <x:c r="E3" s="182" t="str">
        <x:v>ui_action</x:v>
      </x:c>
      <x:c r="F3" s="182" t="str">
        <x:v>status</x:v>
      </x:c>
      <x:c r="G3" s="183" t="str">
        <x:v>evidence</x:v>
      </x:c>
    </x:row>
    <x:row r="4">
      <x:c r="A4" s="184" t="str">
        <x:v>ATT-TW-R-001</x:v>
      </x:c>
      <x:c r="B4" s="185" t="str">
        <x:v>単体引違い窓</x:v>
      </x:c>
      <x:c r="C4" s="185" t="str">
        <x:v>UNAVAILABLE</x:v>
      </x:c>
      <x:c r="D4" s="185" t="str">
        <x:v>公式対応表で設定無</x:v>
      </x:c>
      <x:c r="E4" s="185" t="str">
        <x:v>HIDE</x:v>
      </x:c>
      <x:c r="F4" s="185" t="str">
        <x:v>COMPLETE</x:v>
      </x:c>
      <x:c r="G4" s="186" t="str">
        <x:v>ATT-TW-EV-004</x:v>
      </x:c>
    </x:row>
    <x:row r="5">
      <x:c r="A5" s="184" t="str">
        <x:v>ATT-TW-R-002</x:v>
      </x:c>
      <x:c r="B5" s="185" t="str">
        <x:v>シャッター付引違い窓</x:v>
      </x:c>
      <x:c r="C5" s="185" t="str">
        <x:v>UNAVAILABLE</x:v>
      </x:c>
      <x:c r="D5" s="185" t="str">
        <x:v>公式対応表で設定無</x:v>
      </x:c>
      <x:c r="E5" s="185" t="str">
        <x:v>HIDE</x:v>
      </x:c>
      <x:c r="F5" s="185" t="str">
        <x:v>COMPLETE</x:v>
      </x:c>
      <x:c r="G5" s="186" t="str">
        <x:v>ATT-TW-EV-004</x:v>
      </x:c>
    </x:row>
    <x:row r="6">
      <x:c r="A6" s="184" t="str">
        <x:v>ATT-TW-R-003</x:v>
      </x:c>
      <x:c r="B6" s="185" t="str">
        <x:v>面格子付引違い窓</x:v>
      </x:c>
      <x:c r="C6" s="185" t="str">
        <x:v>UNAVAILABLE</x:v>
      </x:c>
      <x:c r="D6" s="185" t="str">
        <x:v>公式対応表で設定無</x:v>
      </x:c>
      <x:c r="E6" s="185" t="str">
        <x:v>HIDE</x:v>
      </x:c>
      <x:c r="F6" s="185" t="str">
        <x:v>COMPLETE</x:v>
      </x:c>
      <x:c r="G6" s="186" t="str">
        <x:v>ATT-TW-EV-004</x:v>
      </x:c>
    </x:row>
    <x:row r="7">
      <x:c r="A7" s="184" t="str">
        <x:v>ATT-TW-R-004</x:v>
      </x:c>
      <x:c r="B7" s="185" t="str">
        <x:v>装飾引違い窓 HK/HKK</x:v>
      </x:c>
      <x:c r="C7" s="185" t="str">
        <x:v>UNAVAILABLE</x:v>
      </x:c>
      <x:c r="D7" s="185" t="str">
        <x:v>専用品設定無 / TW別手配×</x:v>
      </x:c>
      <x:c r="E7" s="185" t="str">
        <x:v>HIDE</x:v>
      </x:c>
      <x:c r="F7" s="185" t="str">
        <x:v>COMPLETE</x:v>
      </x:c>
      <x:c r="G7" s="186" t="str">
        <x:v>ATT-TW-EV-004</x:v>
      </x:c>
    </x:row>
    <x:row r="8">
      <x:c r="A8" s="184" t="str">
        <x:v>ATT-TW-R-005</x:v>
      </x:c>
      <x:c r="B8" s="185" t="str">
        <x:v>連窓方立</x:v>
      </x:c>
      <x:c r="C8" s="185" t="str">
        <x:v>ATTACHMENT_PART_ONLY</x:v>
      </x:c>
      <x:c r="D8" s="185" t="str">
        <x:v>アタッチ枠側○ / TW側×</x:v>
      </x:c>
      <x:c r="E8" s="185" t="str">
        <x:v>TW商品候補にせず構造部材へ</x:v>
      </x:c>
      <x:c r="F8" s="185" t="str">
        <x:v>COMPLETE</x:v>
      </x:c>
      <x:c r="G8" s="186" t="str">
        <x:v>ATT-TW-EV-004</x:v>
      </x:c>
    </x:row>
    <x:row r="9">
      <x:c r="A9" s="184" t="str">
        <x:v>ATT-TW-R-006</x:v>
      </x:c>
      <x:c r="B9" s="185" t="str">
        <x:v>段窓無目</x:v>
      </x:c>
      <x:c r="C9" s="185" t="str">
        <x:v>ATTACHMENT_PART_ONLY</x:v>
      </x:c>
      <x:c r="D9" s="185" t="str">
        <x:v>アタッチ枠側○ / TW側×</x:v>
      </x:c>
      <x:c r="E9" s="185" t="str">
        <x:v>TW商品候補にせず構造部材へ</x:v>
      </x:c>
      <x:c r="F9" s="185" t="str">
        <x:v>COMPLETE</x:v>
      </x:c>
      <x:c r="G9" s="186" t="str">
        <x:v>ATT-TW-EV-004</x:v>
      </x:c>
    </x:row>
    <x:row r="10">
      <x:c r="A10" s="187" t="str">
        <x:v>ATT-TW-R-007</x:v>
      </x:c>
      <x:c r="B10" s="188" t="str">
        <x:v>TW防火戸</x:v>
      </x:c>
      <x:c r="C10" s="188" t="str">
        <x:v>UNAVAILABLE</x:v>
      </x:c>
      <x:c r="D10" s="188" t="str">
        <x:v>別シリーズ/防火商品体系</x:v>
      </x:c>
      <x:c r="E10" s="188" t="str">
        <x:v>HIDE</x:v>
      </x:c>
      <x:c r="F10" s="188" t="str">
        <x:v>COMPLETE</x:v>
      </x:c>
      <x:c r="G10" s="189" t="str">
        <x:v>ATT-TW-EV-001,003</x:v>
      </x:c>
    </x:row>
  </x:sheetData>
  <x:mergeCells>
    <x:mergeCell ref="A1:G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2" hidden="0" customWidth="1"/>
    <x:col min="4" max="4" width="34" hidden="0" customWidth="1"/>
    <x:col min="5" max="5" width="38" hidden="0" customWidth="1"/>
    <x:col min="6" max="6" width="18" hidden="0" customWidth="1"/>
    <x:col min="7" max="7" width="18" hidden="0" customWidth="1"/>
    <x:col min="8" max="8" width="24" hidden="0" customWidth="1"/>
  </x:cols>
  <x:sheetData>
    <x:row r="1">
      <x:c r="A1" s="178" t="str">
        <x:v>05C_寸法変換｜採寸 → アタッチ枠 → TW正本</x:v>
      </x:c>
      <x:c r="B1" s="178"/>
      <x:c r="C1" s="178"/>
      <x:c r="D1" s="178"/>
      <x:c r="E1" s="178"/>
      <x:c r="F1" s="178"/>
      <x:c r="G1" s="178"/>
      <x:c r="H1" s="178"/>
    </x:row>
    <x:row r="3">
      <x:c r="A3" s="181" t="str">
        <x:v>formula_id</x:v>
      </x:c>
      <x:c r="B3" s="182" t="str">
        <x:v>input</x:v>
      </x:c>
      <x:c r="C3" s="182" t="str">
        <x:v>output</x:v>
      </x:c>
      <x:c r="D3" s="182" t="str">
        <x:v>official_formula</x:v>
      </x:c>
      <x:c r="E3" s="182" t="str">
        <x:v>scope</x:v>
      </x:c>
      <x:c r="F3" s="182" t="str">
        <x:v>auto_mode</x:v>
      </x:c>
      <x:c r="G3" s="182" t="str">
        <x:v>status</x:v>
      </x:c>
      <x:c r="H3" s="183" t="str">
        <x:v>evidence</x:v>
      </x:c>
    </x:row>
    <x:row r="4">
      <x:c r="A4" s="184" t="str">
        <x:v>ATT-TW-F-WD</x:v>
      </x:c>
      <x:c r="B4" s="185" t="str">
        <x:v>survey_w (WS)</x:v>
      </x:c>
      <x:c r="C4" s="185" t="str">
        <x:v>attachment_finished_w (WD)</x:v>
      </x:c>
      <x:c r="D4" s="185" t="str">
        <x:v>WD = WS - 10</x:v>
      </x:c>
      <x:c r="E4" s="185" t="str">
        <x:v>装飾窓アタッチ枠TW</x:v>
      </x:c>
      <x:c r="F4" s="185" t="str">
        <x:v>AUTO</x:v>
      </x:c>
      <x:c r="G4" s="185" t="str">
        <x:v>COMPLETE</x:v>
      </x:c>
      <x:c r="H4" s="186" t="str">
        <x:v>ATT-TW-EV-006</x:v>
      </x:c>
    </x:row>
    <x:row r="5">
      <x:c r="A5" s="184" t="str">
        <x:v>ATT-TW-F-HD</x:v>
      </x:c>
      <x:c r="B5" s="185" t="str">
        <x:v>survey_h (HS)</x:v>
      </x:c>
      <x:c r="C5" s="185" t="str">
        <x:v>attachment_finished_h (HD)</x:v>
      </x:c>
      <x:c r="D5" s="185" t="str">
        <x:v>HD = HS - 10</x:v>
      </x:c>
      <x:c r="E5" s="185" t="str">
        <x:v>装飾窓アタッチ枠TW</x:v>
      </x:c>
      <x:c r="F5" s="185" t="str">
        <x:v>AUTO</x:v>
      </x:c>
      <x:c r="G5" s="185" t="str">
        <x:v>COMPLETE</x:v>
      </x:c>
      <x:c r="H5" s="186" t="str">
        <x:v>ATT-TW-EV-006</x:v>
      </x:c>
    </x:row>
    <x:row r="6">
      <x:c r="A6" s="184" t="str">
        <x:v>ATT-TW-F-TWW</x:v>
      </x:c>
      <x:c r="B6" s="185" t="str">
        <x:v>survey_w (WS)</x:v>
      </x:c>
      <x:c r="C6" s="185" t="str">
        <x:v>referenced_TW_w</x:v>
      </x:c>
      <x:c r="D6" s="185" t="str">
        <x:v>TW_W = WS - 38</x:v>
      </x:c>
      <x:c r="E6" s="185" t="str">
        <x:v>装飾窓アタッチ枠TW</x:v>
      </x:c>
      <x:c r="F6" s="185" t="str">
        <x:v>AUTO</x:v>
      </x:c>
      <x:c r="G6" s="185" t="str">
        <x:v>COMPLETE</x:v>
      </x:c>
      <x:c r="H6" s="186" t="str">
        <x:v>ATT-TW-EV-006</x:v>
      </x:c>
    </x:row>
    <x:row r="7">
      <x:c r="A7" s="187" t="str">
        <x:v>ATT-TW-F-TWH</x:v>
      </x:c>
      <x:c r="B7" s="188" t="str">
        <x:v>survey_h (HS)</x:v>
      </x:c>
      <x:c r="C7" s="188" t="str">
        <x:v>referenced_TW_h</x:v>
      </x:c>
      <x:c r="D7" s="188" t="str">
        <x:v>TW_H = HS - 50</x:v>
      </x:c>
      <x:c r="E7" s="188" t="str">
        <x:v>装飾窓アタッチ枠TW</x:v>
      </x:c>
      <x:c r="F7" s="188" t="str">
        <x:v>AUTO</x:v>
      </x:c>
      <x:c r="G7" s="188" t="str">
        <x:v>COMPLETE</x:v>
      </x:c>
      <x:c r="H7" s="189" t="str">
        <x:v>ATT-TW-EV-006</x:v>
      </x:c>
    </x:row>
  </x:sheetData>
  <x:mergeCells>
    <x:mergeCell ref="A1:H1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68" hidden="0" customWidth="1"/>
    <x:col min="4" max="4" width="24" hidden="0" customWidth="1"/>
    <x:col min="5" max="5" width="78" hidden="0" customWidth="1"/>
    <x:col min="6" max="6" width="18" hidden="0" customWidth="1"/>
  </x:cols>
  <x:sheetData>
    <x:row r="1">
      <x:c r="A1" s="178" t="str">
        <x:v>12_共通参照｜アタッチ枠TW</x:v>
      </x:c>
      <x:c r="B1" s="178"/>
      <x:c r="C1" s="178"/>
      <x:c r="D1" s="178"/>
      <x:c r="E1" s="178"/>
      <x:c r="F1" s="178"/>
    </x:row>
    <x:row r="3">
      <x:c r="A3" s="181" t="str">
        <x:v>shared_rule_id</x:v>
      </x:c>
      <x:c r="B3" s="182" t="str">
        <x:v>内容</x:v>
      </x:c>
      <x:c r="C3" s="182" t="str">
        <x:v>reference_url</x:v>
      </x:c>
      <x:c r="D3" s="182" t="str">
        <x:v>relation</x:v>
      </x:c>
      <x:c r="E3" s="182" t="str">
        <x:v>ATT-TW側の扱い</x:v>
      </x:c>
      <x:c r="F3" s="183" t="str">
        <x:v>status</x:v>
      </x:c>
    </x:row>
    <x:row r="4">
      <x:c r="A4" s="184" t="str">
        <x:v>REF-TW-SSOT</x:v>
      </x:c>
      <x:c r="B4" s="185" t="str">
        <x:v>TW本体商品仕様</x:v>
      </x:c>
      <x:c r="C4" s="185" t="str">
        <x:v>https://docs.google.com/spreadsheets/d/1ordbcPQS7XhptLMjRON2oxmdsPhs-aY-Wm7quPHvM9U/edit</x:v>
      </x:c>
      <x:c r="D4" s="185" t="str">
        <x:v>SINGLE_SOURCE_OF_TRUTH</x:v>
      </x:c>
      <x:c r="E4" s="185" t="str">
        <x:v>窓種/色/網戸/ガラス/本体OP/本体サイズを参照</x:v>
      </x:c>
      <x:c r="F4" s="186" t="str">
        <x:v>COMPLETE</x:v>
      </x:c>
    </x:row>
    <x:row r="5">
      <x:c r="A5" s="184" t="str">
        <x:v>SHARED-COMMON-SPEC</x:v>
      </x:c>
      <x:c r="B5" s="185" t="str">
        <x:v>サッシ商品マスター共通仕様</x:v>
      </x:c>
      <x:c r="C5" s="185" t="str">
        <x:v>https://docs.google.com/document/d/1MfixkbV1cZ__DtBknEKsix_nnrXQqjc-LZtXUHwJv_A/edit</x:v>
      </x:c>
      <x:c r="D5" s="185" t="str">
        <x:v>REFERENCE</x:v>
      </x:c>
      <x:c r="E5" s="185" t="str">
        <x:v>条件判定・Evidence・特殊案件方針</x:v>
      </x:c>
      <x:c r="F5" s="186" t="str">
        <x:v>COMPLETE</x:v>
      </x:c>
    </x:row>
    <x:row r="6">
      <x:c r="A6" s="184" t="str">
        <x:v>REF-RPL-ROOM</x:v>
      </x:c>
      <x:c r="B6" s="185" t="str">
        <x:v>リプラス居室仕様完成版</x:v>
      </x:c>
      <x:c r="C6" s="185" t="str">
        <x:v>https://docs.google.com/spreadsheets/d/1uTlmHsO_czluTsfdpGMarw_q8qe43cp9/edit</x:v>
      </x:c>
      <x:c r="D6" s="185" t="str">
        <x:v>REFERENCE_ONLY</x:v>
      </x:c>
      <x:c r="E6" s="185" t="str">
        <x:v>構造思想のみ。ATT-TW固有値を優先</x:v>
      </x:c>
      <x:c r="F6" s="186" t="str">
        <x:v>COMPLETE</x:v>
      </x:c>
    </x:row>
    <x:row r="7">
      <x:c r="A7" s="184" t="str">
        <x:v>REF-RPL-TW-DIRECT</x:v>
      </x:c>
      <x:c r="B7" s="185" t="str">
        <x:v>リプラス居室仕様TWタイプ完成版</x:v>
      </x:c>
      <x:c r="C7" s="185" t="str">
        <x:v>https://docs.google.com/spreadsheets/d/1LYznqKExqc4rkII0g3vj27bpjbPufToU/edit</x:v>
      </x:c>
      <x:c r="D7" s="185" t="str">
        <x:v>REFERENCE_ONLY</x:v>
      </x:c>
      <x:c r="E7" s="185" t="str">
        <x:v>RPL_TWと混同しない</x:v>
      </x:c>
      <x:c r="F7" s="186" t="str">
        <x:v>COMPLETE</x:v>
      </x:c>
    </x:row>
    <x:row r="8">
      <x:c r="A8" s="184" t="str">
        <x:v>REF-RPL-EW</x:v>
      </x:c>
      <x:c r="B8" s="185" t="str">
        <x:v>リプラスEWタイプ完成版</x:v>
      </x:c>
      <x:c r="C8" s="185" t="str">
        <x:v>https://docs.google.com/spreadsheets/d/1yb2JYoVJj5yArDBHHQ6JX_XXH3kYpfiL/edit</x:v>
      </x:c>
      <x:c r="D8" s="185" t="str">
        <x:v>REFERENCE_ONLY</x:v>
      </x:c>
      <x:c r="E8" s="185" t="str">
        <x:v>構造思想のみ</x:v>
      </x:c>
      <x:c r="F8" s="186" t="str">
        <x:v>COMPLETE</x:v>
      </x:c>
    </x:row>
    <x:row r="9">
      <x:c r="A9" s="187" t="str">
        <x:v>REF-RPL-BATH</x:v>
      </x:c>
      <x:c r="B9" s="188" t="str">
        <x:v>リプラス浴室仕様完成版</x:v>
      </x:c>
      <x:c r="C9" s="188" t="str">
        <x:v>https://docs.google.com/spreadsheets/d/1wzsMPYxS0fcxOtXcrQ4gtKDND0HHs5jc/edit</x:v>
      </x:c>
      <x:c r="D9" s="188" t="str">
        <x:v>REFERENCE_ONLY</x:v>
      </x:c>
      <x:c r="E9" s="188" t="str">
        <x:v>浴室不可確認。仕様値流用なし</x:v>
      </x:c>
      <x:c r="F9" s="189" t="str">
        <x:v>COMPLETE</x:v>
      </x:c>
    </x:row>
  </x:sheetData>
  <x:mergeCells>
    <x:mergeCell ref="A1:F1"/>
  </x:mergeCells>
  <x:pageMargins left="0.7" right="0.7" top="0.75" bottom="0.75" header="0.3" footer="0.3"/>
</x:worksheet>
</file>