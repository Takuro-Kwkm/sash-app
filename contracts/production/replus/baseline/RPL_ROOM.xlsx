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a90e865b8b482d" /></Relationships>
</file>

<file path=xl/workbook.xml><?xml version="1.0" encoding="utf-8"?>
<x:workbook xmlns:x="http://schemas.openxmlformats.org/spreadsheetml/2006/main">
  <x:sheets>
    <x:sheet xmlns:r="http://schemas.openxmlformats.org/officeDocument/2006/relationships" name="90_Evidence" sheetId="1" r:id="R56857d669630409a"/>
    <x:sheet xmlns:r="http://schemas.openxmlformats.org/officeDocument/2006/relationships" name="00_INDEX" sheetId="2" r:id="R027c787beb294f5d"/>
    <x:sheet xmlns:r="http://schemas.openxmlformats.org/officeDocument/2006/relationships" name="00_README" sheetId="3" r:id="R36e7744c9df14a75"/>
    <x:sheet xmlns:r="http://schemas.openxmlformats.org/officeDocument/2006/relationships" name="01_入力フロー" sheetId="4" r:id="R188f2361751f4e3d"/>
    <x:sheet xmlns:r="http://schemas.openxmlformats.org/officeDocument/2006/relationships" name="02_取替方式" sheetId="5" r:id="Rdb1b859c5b664f12"/>
    <x:sheet xmlns:r="http://schemas.openxmlformats.org/officeDocument/2006/relationships" name="02A_仕様区分" sheetId="6" r:id="R06f00dbbd12249c0"/>
    <x:sheet xmlns:r="http://schemas.openxmlformats.org/officeDocument/2006/relationships" name="03_窓種" sheetId="7" r:id="R776f59abcfe743df"/>
    <x:sheet xmlns:r="http://schemas.openxmlformats.org/officeDocument/2006/relationships" name="03A_枠仕様" sheetId="8" r:id="Rdfd34bfa6f7d46d7"/>
    <x:sheet xmlns:r="http://schemas.openxmlformats.org/officeDocument/2006/relationships" name="03B_窓種枠設定" sheetId="9" r:id="R4778e140562144e4"/>
    <x:sheet xmlns:r="http://schemas.openxmlformats.org/officeDocument/2006/relationships" name="04_窓種固有仕様" sheetId="10" r:id="Rd72aedaef4634c85"/>
    <x:sheet xmlns:r="http://schemas.openxmlformats.org/officeDocument/2006/relationships" name="05_サイズルール" sheetId="11" r:id="R52aa4c2f31d0400c"/>
    <x:sheet xmlns:r="http://schemas.openxmlformats.org/officeDocument/2006/relationships" name="05A_サイズ区間" sheetId="12" r:id="R22a4c8f21a4a4d72"/>
    <x:sheet xmlns:r="http://schemas.openxmlformats.org/officeDocument/2006/relationships" name="05B_境界ルール" sheetId="13" r:id="R0175e008a1ec4771"/>
    <x:sheet xmlns:r="http://schemas.openxmlformats.org/officeDocument/2006/relationships" name="06_色" sheetId="14" r:id="Rd310e4169bbc4ade"/>
    <x:sheet xmlns:r="http://schemas.openxmlformats.org/officeDocument/2006/relationships" name="06A_色適用条件" sheetId="15" r:id="Rf4ba1fdf166048fb"/>
    <x:sheet xmlns:r="http://schemas.openxmlformats.org/officeDocument/2006/relationships" name="07_網戸" sheetId="16" r:id="R9f890b0e7fb44c30"/>
    <x:sheet xmlns:r="http://schemas.openxmlformats.org/officeDocument/2006/relationships" name="07A_網戸適用条件" sheetId="17" r:id="Reac65b208cd0455f"/>
    <x:sheet xmlns:r="http://schemas.openxmlformats.org/officeDocument/2006/relationships" name="08_ガラス" sheetId="18" r:id="R048bb73c0131431c"/>
    <x:sheet xmlns:r="http://schemas.openxmlformats.org/officeDocument/2006/relationships" name="08A_ガラス適用条件" sheetId="19" r:id="R3e48865b6aeb4d5a"/>
    <x:sheet xmlns:r="http://schemas.openxmlformats.org/officeDocument/2006/relationships" name="09_その他OP" sheetId="20" r:id="Rc865b8c65a3348a6"/>
    <x:sheet xmlns:r="http://schemas.openxmlformats.org/officeDocument/2006/relationships" name="09A_OP依存関係" sheetId="21" r:id="R3aea0d17a14a429b"/>
    <x:sheet xmlns:r="http://schemas.openxmlformats.org/officeDocument/2006/relationships" name="10_適用条件" sheetId="22" r:id="Rd8e7ae5687794235"/>
    <x:sheet xmlns:r="http://schemas.openxmlformats.org/officeDocument/2006/relationships" name="10A_既設窓互換" sheetId="23" r:id="R7aea1165a81944b8"/>
    <x:sheet xmlns:r="http://schemas.openxmlformats.org/officeDocument/2006/relationships" name="10B_現調項目" sheetId="24" r:id="R8d4579dd318d47a6"/>
    <x:sheet xmlns:r="http://schemas.openxmlformats.org/officeDocument/2006/relationships" name="99_QA" sheetId="25" r:id="Rc82afc2005f34d2b"/>
    <x:sheet xmlns:r="http://schemas.openxmlformats.org/officeDocument/2006/relationships" name="04A_開口構成" sheetId="26" r:id="R466e4a5c3781466d"/>
    <x:sheet xmlns:r="http://schemas.openxmlformats.org/officeDocument/2006/relationships" name="11_見積入力テスト" sheetId="27" r:id="R8053414ab145457f"/>
    <x:sheet xmlns:r="http://schemas.openxmlformats.org/officeDocument/2006/relationships" name="10C_化粧カバー見付" sheetId="28" r:id="R2486f5c36d84434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4"/>
      <x:color rgb="FFFFFFFF"/>
      <x:name val="Carlito"/>
    </x:font>
    <x:font>
      <x:i/>
      <x:sz val="9"/>
      <x:color rgb="FF1F2937"/>
      <x:name val="Carlito"/>
    </x:font>
    <x:font>
      <x:b/>
      <x:sz val="11"/>
      <x:color rgb="FFFFFFFF"/>
      <x:name val="Carlito"/>
    </x:font>
    <x:font>
      <x:sz val="9"/>
      <x:color rgb="FF1F2937"/>
      <x:name val="Carlito"/>
    </x:font>
    <x:font>
      <x:i/>
      <x:sz val="9"/>
      <x:name val="Carlito"/>
    </x:font>
    <x:font>
      <x:b/>
      <x:sz val="9"/>
      <x:color rgb="FFFFFFFF"/>
      <x:name val="Carlito"/>
    </x:font>
  </x:fonts>
  <x:fills count="14">
    <x:fill>
      <x:patternFill patternType="none"/>
    </x:fill>
    <x:fill>
      <x:patternFill patternType="gray125"/>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FEF3C7"/>
      </x:patternFill>
    </x:fill>
    <x:fill>
      <x:patternFill patternType="solid">
        <x:fgColor rgb="FFE5E7EB"/>
      </x:patternFill>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DBEAFE"/>
      </x:patternFill>
    </x:fill>
    <x:fill>
      <x:patternFill patternType="solid">
        <x:fgColor rgb="FFE5E7EB"/>
      </x:patternFill>
    </x:fill>
  </x:fills>
  <x:borders count="29">
    <x:border/>
    <x:border/>
    <x:border/>
    <x:border/>
    <x:border/>
    <x:border/>
    <x:border/>
    <x:border/>
    <x:border/>
    <x:border/>
    <x:border/>
    <x:border/>
    <x:border/>
    <x:border/>
    <x:border/>
    <x:border/>
    <x:border/>
    <x:border/>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applyAlignment="1">
      <x:alignment horizontal="center" vertical="center"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8"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2" xfId="0" applyNumberFormat="1" applyFont="1" applyFill="1" applyBorder="1"/>
    <x:xf numFmtId="0" fontId="3" fillId="4" borderId="3" xfId="0" applyNumberFormat="1" applyFont="1" applyFill="1" applyBorder="1"/>
    <x:xf numFmtId="0" fontId="0" fillId="0" borderId="3" xfId="0" applyNumberFormat="1" applyFont="1" applyFill="1" applyBorder="1"/>
    <x:xf numFmtId="0" fontId="3" fillId="4"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0" fillId="0" borderId="12" xfId="0" applyNumberFormat="1" applyFont="1" applyFill="1" applyBorder="1"/>
    <x:xf numFmtId="0" fontId="3" fillId="4"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3" xfId="0" applyNumberFormat="1" applyFont="1" applyFill="1" applyBorder="1" applyAlignment="1">
      <x:alignment wrapText="1"/>
    </x:xf>
    <x:xf numFmtId="0" fontId="3" fillId="4"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0" fillId="0" borderId="12" xfId="0" applyNumberFormat="1" applyFont="1" applyFill="1" applyBorder="1" applyAlignment="1">
      <x:alignment wrapText="1"/>
    </x:xf>
    <x:xf numFmtId="0" fontId="3" fillId="4"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9"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8" xfId="0" applyNumberFormat="1" applyFont="1" applyFill="1" applyBorder="1" applyAlignment="1">
      <x:alignment wrapText="1"/>
    </x:xf>
    <x:xf numFmtId="0" fontId="4" fillId="5" borderId="6"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15"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1" fillId="8" borderId="0" xfId="0" applyNumberFormat="1" applyFont="1" applyFill="1" applyBorder="1" applyAlignment="1">
      <x:alignment vertical="center"/>
    </x:xf>
    <x:xf numFmtId="0" fontId="0" fillId="8" borderId="0" xfId="0" applyNumberFormat="1" applyFont="1" applyFill="1" applyBorder="1"/>
    <x:xf numFmtId="0" fontId="1" fillId="8" borderId="0" xfId="0" applyNumberFormat="1" applyFont="1" applyFill="1" applyBorder="1"/>
    <x:xf numFmtId="0" fontId="2" fillId="9"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3" fillId="10" borderId="2"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4" fillId="0" borderId="2" xfId="0" applyNumberFormat="1" applyFont="1" applyFill="1" applyBorder="1" applyAlignment="1">
      <x:alignment vertical="top" wrapText="1"/>
    </x:xf>
    <x:xf numFmtId="0" fontId="3" fillId="10" borderId="20" xfId="0" applyNumberFormat="1" applyFont="1" applyFill="1" applyBorder="1" applyAlignment="1">
      <x:alignment horizontal="center" vertical="center" wrapText="1"/>
    </x:xf>
    <x:xf numFmtId="0" fontId="3" fillId="10" borderId="21" xfId="0" applyNumberFormat="1" applyFont="1" applyFill="1" applyBorder="1" applyAlignment="1">
      <x:alignment horizontal="center" vertical="center" wrapText="1"/>
    </x:xf>
    <x:xf numFmtId="0" fontId="3" fillId="10" borderId="22" xfId="0" applyNumberFormat="1" applyFont="1" applyFill="1" applyBorder="1" applyAlignment="1">
      <x:alignment horizontal="center" vertical="center" wrapText="1"/>
    </x:xf>
    <x:xf numFmtId="0" fontId="4" fillId="0" borderId="23" xfId="0" applyNumberFormat="1" applyFont="1" applyFill="1" applyBorder="1" applyAlignment="1">
      <x:alignment vertical="top" wrapText="1"/>
    </x:xf>
    <x:xf numFmtId="0" fontId="4" fillId="0" borderId="24" xfId="0" applyNumberFormat="1" applyFont="1" applyFill="1" applyBorder="1" applyAlignment="1">
      <x:alignment vertical="top" wrapText="1"/>
    </x:xf>
    <x:xf numFmtId="0" fontId="4" fillId="0" borderId="25" xfId="0" applyNumberFormat="1" applyFont="1" applyFill="1" applyBorder="1" applyAlignment="1">
      <x:alignment vertical="top" wrapText="1"/>
    </x:xf>
    <x:xf numFmtId="0" fontId="4" fillId="0" borderId="26" xfId="0" applyNumberFormat="1" applyFont="1" applyFill="1" applyBorder="1" applyAlignment="1">
      <x:alignment vertical="top" wrapText="1"/>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6" fillId="10" borderId="2" xfId="0" applyNumberFormat="1" applyFont="1" applyFill="1" applyBorder="1" applyAlignment="1">
      <x:alignment horizontal="center" vertical="top" wrapText="1"/>
    </x:xf>
    <x:xf numFmtId="0" fontId="6" fillId="10" borderId="2" xfId="0" applyNumberFormat="1" applyFont="1" applyFill="1" applyBorder="1" applyAlignment="1">
      <x:alignment horizontal="center" vertical="center" wrapText="1"/>
    </x:xf>
    <x:xf numFmtId="0" fontId="4"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0" xfId="0" applyNumberFormat="1" applyFont="1" applyFill="1" applyBorder="1" applyAlignment="1">
      <x:alignment horizontal="center" vertical="top" wrapText="1"/>
    </x:xf>
    <x:xf numFmtId="0" fontId="6" fillId="10" borderId="0" xfId="0" applyNumberFormat="1" applyFont="1" applyFill="1" applyBorder="1" applyAlignment="1">
      <x:alignment horizontal="center" vertical="center" wrapText="1"/>
    </x:xf>
    <x:xf numFmtId="0" fontId="4"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6" fillId="10" borderId="20" xfId="0" applyNumberFormat="1" applyFont="1" applyFill="1" applyBorder="1" applyAlignment="1">
      <x:alignment horizontal="center" vertical="center" wrapText="1"/>
    </x:xf>
    <x:xf numFmtId="0" fontId="6" fillId="10" borderId="21" xfId="0" applyNumberFormat="1" applyFont="1" applyFill="1" applyBorder="1" applyAlignment="1">
      <x:alignment horizontal="center" vertical="center" wrapText="1"/>
    </x:xf>
    <x:xf numFmtId="0" fontId="6" fillId="10" borderId="22" xfId="0" applyNumberFormat="1" applyFont="1" applyFill="1" applyBorder="1" applyAlignment="1">
      <x:alignment horizontal="center" vertical="center" wrapText="1"/>
    </x:xf>
    <x:xf numFmtId="0" fontId="4" fillId="5" borderId="24" xfId="0" applyNumberFormat="1" applyFont="1" applyFill="1" applyBorder="1" applyAlignment="1">
      <x:alignment vertical="top" wrapText="1"/>
    </x:xf>
    <x:xf numFmtId="0" fontId="4" fillId="6" borderId="24" xfId="0" applyNumberFormat="1" applyFont="1" applyFill="1" applyBorder="1" applyAlignment="1">
      <x:alignment vertical="top" wrapText="1"/>
    </x:xf>
    <x:xf numFmtId="0" fontId="4" fillId="7" borderId="27" xfId="0" applyNumberFormat="1" applyFont="1" applyFill="1" applyBorder="1" applyAlignment="1">
      <x:alignment vertical="top" wrapText="1"/>
    </x:xf>
    <x:xf numFmtId="0" fontId="4" fillId="11" borderId="24" xfId="0" applyNumberFormat="1" applyFont="1" applyFill="1" applyBorder="1" applyAlignment="1">
      <x:alignment vertical="top" wrapText="1"/>
    </x:xf>
    <x:xf numFmtId="0" fontId="4" fillId="12" borderId="24" xfId="0" applyNumberFormat="1" applyFont="1" applyFill="1" applyBorder="1" applyAlignment="1">
      <x:alignment vertical="top" wrapText="1"/>
    </x:xf>
    <x:xf numFmtId="0" fontId="4" fillId="13" borderId="27" xfId="0" applyNumberFormat="1" applyFont="1" applyFill="1" applyBorder="1" applyAlignment="1">
      <x:alignment vertical="top" wrapText="1"/>
    </x:xf>
  </x:cellXfs>
  <x:cellStyles count="1">
    <x:cellStyle name="Normal" xfId="0"/>
  </x:cellStyles>
  <x:dxfs count="4">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52ee9166ca47cb" /><Relationship Type="http://schemas.openxmlformats.org/officeDocument/2006/relationships/theme" Target="/xl/theme/theme1.xml" Id="R42f4bad50a964551" /><Relationship Type="http://schemas.microsoft.com/office/2022/11/relationships/FeaturePropertyBag" Target="/xl/featurePropertyBag/featurePropertyBag.xml" Id="R8231378ddaef4ed1" /><Relationship Type="http://schemas.openxmlformats.org/officeDocument/2006/relationships/sharedStrings" Target="/xl/sharedStrings.xml" Id="R987350b76f7c4c0a" /><Relationship Type="http://schemas.openxmlformats.org/officeDocument/2006/relationships/worksheet" Target="/xl/worksheets/sheet1.xml" Id="R56857d669630409a" /><Relationship Type="http://schemas.openxmlformats.org/officeDocument/2006/relationships/worksheet" Target="/xl/worksheets/sheet2.xml" Id="R027c787beb294f5d" /><Relationship Type="http://schemas.openxmlformats.org/officeDocument/2006/relationships/worksheet" Target="/xl/worksheets/sheet3.xml" Id="R36e7744c9df14a75" /><Relationship Type="http://schemas.openxmlformats.org/officeDocument/2006/relationships/worksheet" Target="/xl/worksheets/sheet4.xml" Id="R188f2361751f4e3d" /><Relationship Type="http://schemas.openxmlformats.org/officeDocument/2006/relationships/worksheet" Target="/xl/worksheets/sheet5.xml" Id="Rdb1b859c5b664f12" /><Relationship Type="http://schemas.openxmlformats.org/officeDocument/2006/relationships/worksheet" Target="/xl/worksheets/sheet6.xml" Id="R06f00dbbd12249c0" /><Relationship Type="http://schemas.openxmlformats.org/officeDocument/2006/relationships/worksheet" Target="/xl/worksheets/sheet7.xml" Id="R776f59abcfe743df" /><Relationship Type="http://schemas.openxmlformats.org/officeDocument/2006/relationships/worksheet" Target="/xl/worksheets/sheet8.xml" Id="Rdfd34bfa6f7d46d7" /><Relationship Type="http://schemas.openxmlformats.org/officeDocument/2006/relationships/worksheet" Target="/xl/worksheets/sheet9.xml" Id="R4778e140562144e4" /><Relationship Type="http://schemas.openxmlformats.org/officeDocument/2006/relationships/worksheet" Target="/xl/worksheets/sheet10.xml" Id="Rd72aedaef4634c85" /><Relationship Type="http://schemas.openxmlformats.org/officeDocument/2006/relationships/worksheet" Target="/xl/worksheets/sheet11.xml" Id="R52aa4c2f31d0400c" /><Relationship Type="http://schemas.openxmlformats.org/officeDocument/2006/relationships/worksheet" Target="/xl/worksheets/sheet12.xml" Id="R22a4c8f21a4a4d72" /><Relationship Type="http://schemas.openxmlformats.org/officeDocument/2006/relationships/worksheet" Target="/xl/worksheets/sheet13.xml" Id="R0175e008a1ec4771" /><Relationship Type="http://schemas.openxmlformats.org/officeDocument/2006/relationships/worksheet" Target="/xl/worksheets/sheet14.xml" Id="Rd310e4169bbc4ade" /><Relationship Type="http://schemas.openxmlformats.org/officeDocument/2006/relationships/worksheet" Target="/xl/worksheets/sheet15.xml" Id="Rf4ba1fdf166048fb" /><Relationship Type="http://schemas.openxmlformats.org/officeDocument/2006/relationships/worksheet" Target="/xl/worksheets/sheet16.xml" Id="R9f890b0e7fb44c30" /><Relationship Type="http://schemas.openxmlformats.org/officeDocument/2006/relationships/worksheet" Target="/xl/worksheets/sheet17.xml" Id="Reac65b208cd0455f" /><Relationship Type="http://schemas.openxmlformats.org/officeDocument/2006/relationships/worksheet" Target="/xl/worksheets/sheet18.xml" Id="R048bb73c0131431c" /><Relationship Type="http://schemas.openxmlformats.org/officeDocument/2006/relationships/worksheet" Target="/xl/worksheets/sheet19.xml" Id="R3e48865b6aeb4d5a" /><Relationship Type="http://schemas.openxmlformats.org/officeDocument/2006/relationships/worksheet" Target="/xl/worksheets/sheet20.xml" Id="Rc865b8c65a3348a6" /><Relationship Type="http://schemas.openxmlformats.org/officeDocument/2006/relationships/worksheet" Target="/xl/worksheets/sheet21.xml" Id="R3aea0d17a14a429b" /><Relationship Type="http://schemas.openxmlformats.org/officeDocument/2006/relationships/worksheet" Target="/xl/worksheets/sheet22.xml" Id="Rd8e7ae5687794235" /><Relationship Type="http://schemas.openxmlformats.org/officeDocument/2006/relationships/worksheet" Target="/xl/worksheets/sheet23.xml" Id="R7aea1165a81944b8" /><Relationship Type="http://schemas.openxmlformats.org/officeDocument/2006/relationships/worksheet" Target="/xl/worksheets/sheet24.xml" Id="R8d4579dd318d47a6" /><Relationship Type="http://schemas.openxmlformats.org/officeDocument/2006/relationships/worksheet" Target="/xl/worksheets/sheet25.xml" Id="Rc82afc2005f34d2b" /><Relationship Type="http://schemas.openxmlformats.org/officeDocument/2006/relationships/worksheet" Target="/xl/worksheets/sheet26.xml" Id="R466e4a5c3781466d" /><Relationship Type="http://schemas.openxmlformats.org/officeDocument/2006/relationships/worksheet" Target="/xl/worksheets/sheet27.xml" Id="R8053414ab145457f" /><Relationship Type="http://schemas.openxmlformats.org/officeDocument/2006/relationships/worksheet" Target="/xl/worksheets/sheet28.xml" Id="R2486f5c36d84434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4" hidden="0" customWidth="1"/>
    <x:col min="3" max="3" width="34" hidden="0" customWidth="1"/>
    <x:col min="4" max="4" width="13" hidden="0" customWidth="1"/>
    <x:col min="5" max="5" width="20" hidden="0" customWidth="1"/>
    <x:col min="6" max="6" width="48" hidden="0" customWidth="1"/>
    <x:col min="7" max="7" width="13" hidden="0" customWidth="1"/>
    <x:col min="8" max="8" width="10" hidden="0" customWidth="1"/>
    <x:col min="9" max="9" width="42" hidden="0" customWidth="1"/>
  </x:cols>
  <x:sheetData>
    <x:row r="1" ht="28" customHeight="1">
      <x:c r="A1" s="4" t="str">
        <x:v>90_Evidence｜根拠管理</x:v>
      </x:c>
      <x:c r="B1" s="4"/>
      <x:c r="C1" s="4"/>
      <x:c r="D1" s="4"/>
      <x:c r="E1" s="4"/>
      <x:c r="F1" s="4"/>
      <x:c r="G1" s="4"/>
      <x:c r="H1" s="4"/>
      <x:c r="I1" s="4"/>
    </x:row>
    <x:row r="2" ht="34" customHeight="1">
      <x:c r="A2" s="11" t="str">
        <x:v>確定情報は原則としてEvidence IDを持つ。URLは追跡可能なプレーンテキストで保持。</x:v>
      </x:c>
      <x:c r="B2" s="11"/>
      <x:c r="C2" s="11"/>
      <x:c r="D2" s="11"/>
      <x:c r="E2" s="11"/>
      <x:c r="F2" s="11"/>
      <x:c r="G2" s="11"/>
      <x:c r="H2" s="11"/>
      <x:c r="I2" s="11"/>
    </x:row>
    <x:row r="4" ht="30" customHeight="1">
      <x:c r="A4" s="32" t="str">
        <x:v>evidence_id</x:v>
      </x:c>
      <x:c r="B4" s="33" t="str">
        <x:v>情報源種別</x:v>
      </x:c>
      <x:c r="C4" s="33" t="str">
        <x:v>資料名</x:v>
      </x:c>
      <x:c r="D4" s="33" t="str">
        <x:v>発行年月</x:v>
      </x:c>
      <x:c r="E4" s="33" t="str">
        <x:v>ページ/箇所</x:v>
      </x:c>
      <x:c r="F4" s="33" t="str">
        <x:v>URL</x:v>
      </x:c>
      <x:c r="G4" s="33" t="str">
        <x:v>確認日</x:v>
      </x:c>
      <x:c r="H4" s="33" t="str">
        <x:v>確度</x:v>
      </x:c>
      <x:c r="I4" s="34" t="str">
        <x:v>根拠内容</x:v>
      </x:c>
    </x:row>
    <x:row r="5">
      <x:c r="A5" s="35" t="str">
        <x:v>EV-001</x:v>
      </x:c>
      <x:c r="B5" s="36" t="str">
        <x:v>共通仕様</x:v>
      </x:c>
      <x:c r="C5" s="36" t="str">
        <x:v>サッシ商品マスター共通仕様書_v0.1</x:v>
      </x:c>
      <x:c r="D5" s="36" t="str">
        <x:v>2026-08-30更新</x:v>
      </x:c>
      <x:c r="E5" s="36" t="str">
        <x:v>全体</x:v>
      </x:c>
      <x:c r="F5" s="36" t="str">
        <x:v>https://docs.google.com/document/d/1MfixkbV1cZ__DtBknEKsix_nnrXQqjc-LZtXUHwJv_A/edit</x:v>
      </x:c>
      <x:c r="G5" s="36" t="str">
        <x:v>2026-08-30</x:v>
      </x:c>
      <x:c r="H5" s="36" t="str">
        <x:v>HIGH</x:v>
      </x:c>
      <x:c r="I5" s="37" t="str">
        <x:v>共通階層・条件判定・Evidence・UI非表示ルール</x:v>
      </x:c>
    </x:row>
    <x:row r="6">
      <x:c r="A6" s="35" t="str">
        <x:v>EV-002</x:v>
      </x:c>
      <x:c r="B6" s="36" t="str">
        <x:v>業務用資料集</x:v>
      </x:c>
      <x:c r="C6" s="36" t="str">
        <x:v>リプラス・リプラスマンション用 取替窓 業務用資料集</x:v>
      </x:c>
      <x:c r="D6" s="36" t="str">
        <x:v>2026-04</x:v>
      </x:c>
      <x:c r="E6" s="36" t="str">
        <x:v>目次・居室仕様価格表/納まり</x:v>
      </x:c>
      <x:c r="F6" s="36" t="str">
        <x:v>https://drive.google.com/file/d/1D1HPMXhOMYd_Lu10XNzzJR2TH3aDHVUr/view</x:v>
      </x:c>
      <x:c r="G6" s="36" t="str">
        <x:v>2026-08-30</x:v>
      </x:c>
      <x:c r="H6" s="36" t="str">
        <x:v>HIGH</x:v>
      </x:c>
      <x:c r="I6" s="37" t="str">
        <x:v>現行業務用資料。居室仕様の窓種、標準枠/ブリッジ枠、価格表・納まり</x:v>
      </x:c>
    </x:row>
    <x:row r="7">
      <x:c r="A7" s="35" t="str">
        <x:v>EV-003</x:v>
      </x:c>
      <x:c r="B7" s="36" t="str">
        <x:v>商品カタログ</x:v>
      </x:c>
      <x:c r="C7" s="36" t="str">
        <x:v>LIXIL リプラス 商品カタログ SN1200</x:v>
      </x:c>
      <x:c r="D7" s="36" t="str">
        <x:v>2025-08</x:v>
      </x:c>
      <x:c r="E7" s="36" t="str">
        <x:v>p.28</x:v>
      </x:c>
      <x:c r="F7" s="36" t="str">
        <x:v>https://drive.google.com/file/d/1wH1nhmsftl6y8Mp7y6twtoXSi6rxqxzT/view</x:v>
      </x:c>
      <x:c r="G7" s="36" t="str">
        <x:v>2026-08-30</x:v>
      </x:c>
      <x:c r="H7" s="36" t="str">
        <x:v>HIGH</x:v>
      </x:c>
      <x:c r="I7" s="37" t="str">
        <x:v>居室仕様の8窓種、色体系、既設窓取替可否の基本説明</x:v>
      </x:c>
    </x:row>
    <x:row r="8">
      <x:c r="A8" s="35" t="str">
        <x:v>EV-004</x:v>
      </x:c>
      <x:c r="B8" s="36" t="str">
        <x:v>商品カタログ</x:v>
      </x:c>
      <x:c r="C8" s="36" t="str">
        <x:v>LIXIL リプラス 商品カタログ SN1200</x:v>
      </x:c>
      <x:c r="D8" s="36" t="str">
        <x:v>2025-08</x:v>
      </x:c>
      <x:c r="E8" s="36" t="str">
        <x:v>p.48～</x:v>
      </x:c>
      <x:c r="F8" s="36" t="str">
        <x:v>https://drive.google.com/file/d/1wH1nhmsftl6y8Mp7y6twtoXSi6rxqxzT/view</x:v>
      </x:c>
      <x:c r="G8" s="36" t="str">
        <x:v>2026-08-30</x:v>
      </x:c>
      <x:c r="H8" s="36" t="str">
        <x:v>HIGH</x:v>
      </x:c>
      <x:c r="I8" s="37" t="str">
        <x:v>ガラスバリエーション</x:v>
      </x:c>
    </x:row>
    <x:row r="9">
      <x:c r="A9" s="35" t="str">
        <x:v>EV-005</x:v>
      </x:c>
      <x:c r="B9" s="36" t="str">
        <x:v>商品カタログ</x:v>
      </x:c>
      <x:c r="C9" s="36" t="str">
        <x:v>LIXIL リプラス 商品カタログ SN1200</x:v>
      </x:c>
      <x:c r="D9" s="36" t="str">
        <x:v>2025-08</x:v>
      </x:c>
      <x:c r="E9" s="36" t="str">
        <x:v>p.64-65</x:v>
      </x:c>
      <x:c r="F9" s="36" t="str">
        <x:v>https://drive.google.com/file/d/1wH1nhmsftl6y8Mp7y6twtoXSi6rxqxzT/view</x:v>
      </x:c>
      <x:c r="G9" s="36" t="str">
        <x:v>2026-08-30</x:v>
      </x:c>
      <x:c r="H9" s="36" t="str">
        <x:v>HIGH</x:v>
      </x:c>
      <x:c r="I9" s="37" t="str">
        <x:v>網戸形式・機能性ネット・シリーズ設定表</x:v>
      </x:c>
    </x:row>
    <x:row r="10">
      <x:c r="A10" s="35" t="str">
        <x:v>EV-006</x:v>
      </x:c>
      <x:c r="B10" s="36" t="str">
        <x:v>商品カタログ</x:v>
      </x:c>
      <x:c r="C10" s="36" t="str">
        <x:v>LIXIL リプラス 商品カタログ SN1200</x:v>
      </x:c>
      <x:c r="D10" s="36" t="str">
        <x:v>2025-08</x:v>
      </x:c>
      <x:c r="E10" s="36" t="str">
        <x:v>p.97</x:v>
      </x:c>
      <x:c r="F10" s="36" t="str">
        <x:v>https://drive.google.com/file/d/1wH1nhmsftl6y8Mp7y6twtoXSi6rxqxzT/view</x:v>
      </x:c>
      <x:c r="G10" s="36" t="str">
        <x:v>2026-08-30</x:v>
      </x:c>
      <x:c r="H10" s="36" t="str">
        <x:v>HIGH</x:v>
      </x:c>
      <x:c r="I10" s="37" t="str">
        <x:v>居室仕様 引違い窓 標準枠 寸法特注範囲</x:v>
      </x:c>
    </x:row>
    <x:row r="11">
      <x:c r="A11" s="35" t="str">
        <x:v>EV-007</x:v>
      </x:c>
      <x:c r="B11" s="36" t="str">
        <x:v>商品カタログ</x:v>
      </x:c>
      <x:c r="C11" s="36" t="str">
        <x:v>LIXIL リプラス 商品カタログ SN1200</x:v>
      </x:c>
      <x:c r="D11" s="36" t="str">
        <x:v>2025-08</x:v>
      </x:c>
      <x:c r="E11" s="36" t="str">
        <x:v>p.98</x:v>
      </x:c>
      <x:c r="F11" s="36" t="str">
        <x:v>https://drive.google.com/file/d/1wH1nhmsftl6y8Mp7y6twtoXSi6rxqxzT/view</x:v>
      </x:c>
      <x:c r="G11" s="36" t="str">
        <x:v>2026-08-30</x:v>
      </x:c>
      <x:c r="H11" s="36" t="str">
        <x:v>HIGH</x:v>
      </x:c>
      <x:c r="I11" s="37" t="str">
        <x:v>居室仕様 引違い窓 ブリッジ枠 寸法特注範囲</x:v>
      </x:c>
    </x:row>
    <x:row r="12">
      <x:c r="A12" s="35" t="str">
        <x:v>EV-008</x:v>
      </x:c>
      <x:c r="B12" s="36" t="str">
        <x:v>商品カタログ</x:v>
      </x:c>
      <x:c r="C12" s="36" t="str">
        <x:v>LIXIL リプラス 商品カタログ SN1200</x:v>
      </x:c>
      <x:c r="D12" s="36" t="str">
        <x:v>2025-08</x:v>
      </x:c>
      <x:c r="E12" s="36" t="str">
        <x:v>p.110</x:v>
      </x:c>
      <x:c r="F12" s="36" t="str">
        <x:v>https://drive.google.com/file/d/1wH1nhmsftl6y8Mp7y6twtoXSi6rxqxzT/view</x:v>
      </x:c>
      <x:c r="G12" s="36" t="str">
        <x:v>2026-08-30</x:v>
      </x:c>
      <x:c r="H12" s="36" t="str">
        <x:v>HIGH</x:v>
      </x:c>
      <x:c r="I12" s="37" t="str">
        <x:v>居室仕様 装飾窓 寸法特注範囲</x:v>
      </x:c>
    </x:row>
    <x:row r="13">
      <x:c r="A13" s="35" t="str">
        <x:v>EV-009</x:v>
      </x:c>
      <x:c r="B13" s="36" t="str">
        <x:v>商品カタログ</x:v>
      </x:c>
      <x:c r="C13" s="36" t="str">
        <x:v>LIXIL リプラス 商品カタログ SN1200</x:v>
      </x:c>
      <x:c r="D13" s="36" t="str">
        <x:v>2025-08</x:v>
      </x:c>
      <x:c r="E13" s="36" t="str">
        <x:v>p.111</x:v>
      </x:c>
      <x:c r="F13" s="36" t="str">
        <x:v>https://drive.google.com/file/d/1wH1nhmsftl6y8Mp7y6twtoXSi6rxqxzT/view</x:v>
      </x:c>
      <x:c r="G13" s="36" t="str">
        <x:v>2026-08-30</x:v>
      </x:c>
      <x:c r="H13" s="36" t="str">
        <x:v>HIGH</x:v>
      </x:c>
      <x:c r="I13" s="37" t="str">
        <x:v>FIX窓、連窓方立、段窓無目 寸法特注範囲</x:v>
      </x:c>
    </x:row>
    <x:row r="14">
      <x:c r="A14" s="35" t="str">
        <x:v>EV-010</x:v>
      </x:c>
      <x:c r="B14" s="36" t="str">
        <x:v>商品カタログ</x:v>
      </x:c>
      <x:c r="C14" s="36" t="str">
        <x:v>LIXIL リプラス 商品カタログ SN1200</x:v>
      </x:c>
      <x:c r="D14" s="36" t="str">
        <x:v>2025-08</x:v>
      </x:c>
      <x:c r="E14" s="36" t="str">
        <x:v>p.194-200</x:v>
      </x:c>
      <x:c r="F14" s="36" t="str">
        <x:v>https://drive.google.com/file/d/1wH1nhmsftl6y8Mp7y6twtoXSi6rxqxzT/view</x:v>
      </x:c>
      <x:c r="G14" s="36" t="str">
        <x:v>2026-08-30</x:v>
      </x:c>
      <x:c r="H14" s="36" t="str">
        <x:v>HIGH</x:v>
      </x:c>
      <x:c r="I14" s="37" t="str">
        <x:v>現場調査フロー、構造/防火/既設サッシ条件</x:v>
      </x:c>
    </x:row>
    <x:row r="15">
      <x:c r="A15" s="35" t="str">
        <x:v>EV-011</x:v>
      </x:c>
      <x:c r="B15" s="36" t="str">
        <x:v>商品カタログ</x:v>
      </x:c>
      <x:c r="C15" s="36" t="str">
        <x:v>LIXIL リプラス 商品カタログ SN1200</x:v>
      </x:c>
      <x:c r="D15" s="36" t="str">
        <x:v>2025-08</x:v>
      </x:c>
      <x:c r="E15" s="36" t="str">
        <x:v>p.200</x:v>
      </x:c>
      <x:c r="F15" s="36" t="str">
        <x:v>https://drive.google.com/file/d/1wH1nhmsftl6y8Mp7y6twtoXSi6rxqxzT/view</x:v>
      </x:c>
      <x:c r="G15" s="36" t="str">
        <x:v>2026-08-30</x:v>
      </x:c>
      <x:c r="H15" s="36" t="str">
        <x:v>HIGH</x:v>
      </x:c>
      <x:c r="I15" s="37" t="str">
        <x:v>既設窓種対応可否表</x:v>
      </x:c>
    </x:row>
    <x:row r="16">
      <x:c r="A16" s="35" t="str">
        <x:v>EV-012</x:v>
      </x:c>
      <x:c r="B16" s="36" t="str">
        <x:v>商品カタログ</x:v>
      </x:c>
      <x:c r="C16" s="36" t="str">
        <x:v>LIXIL リプラス 商品カタログ SN1200</x:v>
      </x:c>
      <x:c r="D16" s="36" t="str">
        <x:v>2025-08</x:v>
      </x:c>
      <x:c r="E16" s="36" t="str">
        <x:v>p.204-209付近</x:v>
      </x:c>
      <x:c r="F16" s="36" t="str">
        <x:v>https://drive.google.com/file/d/1wH1nhmsftl6y8Mp7y6twtoXSi6rxqxzT/view</x:v>
      </x:c>
      <x:c r="G16" s="36" t="str">
        <x:v>2026-08-30</x:v>
      </x:c>
      <x:c r="H16" s="36" t="str">
        <x:v>HIGH</x:v>
      </x:c>
      <x:c r="I16" s="37" t="str">
        <x:v>採寸・下枠補強金具・枠見付確認</x:v>
      </x:c>
    </x:row>
    <x:row r="17">
      <x:c r="A17" s="35" t="str">
        <x:v>EV-013</x:v>
      </x:c>
      <x:c r="B17" s="36" t="str">
        <x:v>商品カタログ</x:v>
      </x:c>
      <x:c r="C17" s="36" t="str">
        <x:v>LIXIL リプラス 商品カタログ SN1200</x:v>
      </x:c>
      <x:c r="D17" s="36" t="str">
        <x:v>2025-08</x:v>
      </x:c>
      <x:c r="E17" s="36" t="str">
        <x:v>納まり参考図 p.152以降</x:v>
      </x:c>
      <x:c r="F17" s="36" t="str">
        <x:v>https://drive.google.com/file/d/1wH1nhmsftl6y8Mp7y6twtoXSi6rxqxzT/view</x:v>
      </x:c>
      <x:c r="G17" s="36" t="str">
        <x:v>2026-08-30</x:v>
      </x:c>
      <x:c r="H17" s="36" t="str">
        <x:v>HIGH</x:v>
      </x:c>
      <x:c r="I17" s="37" t="str">
        <x:v>出来寸W=WS-10、出来寸H=HS-10の寸法表記</x:v>
      </x:c>
    </x:row>
    <x:row r="18">
      <x:c r="A18" s="35" t="str">
        <x:v>EV-014</x:v>
      </x:c>
      <x:c r="B18" s="36" t="str">
        <x:v>公式Web</x:v>
      </x:c>
      <x:c r="C18" s="36" t="str">
        <x:v>LIXIL リプラス 居室仕様</x:v>
      </x:c>
      <x:c r="D18" s="36" t="str">
        <x:v>現行</x:v>
      </x:c>
      <x:c r="E18" s="36" t="str">
        <x:v>ブリッジ枠・色・ガラス・網戸</x:v>
      </x:c>
      <x:c r="F18" s="36" t="str">
        <x:v>https://www.lixil.co.jp/lineup/window/replus/variation/dedicated-frame/</x:v>
      </x:c>
      <x:c r="G18" s="36" t="str">
        <x:v>2026-08-30</x:v>
      </x:c>
      <x:c r="H18" s="36" t="str">
        <x:v>HIGH</x:v>
      </x:c>
      <x:c r="I18" s="37" t="str">
        <x:v>ブリッジ枠は引違い窓で選択可。色/ガラス/網戸の現行掲載</x:v>
      </x:c>
    </x:row>
    <x:row r="19">
      <x:c r="A19" s="35" t="str">
        <x:v>EV-015</x:v>
      </x:c>
      <x:c r="B19" s="36" t="str">
        <x:v>公式Webカタログ</x:v>
      </x:c>
      <x:c r="C19" s="36" t="str">
        <x:v>リプラス・リプラスマンション用 業務用資料集 IS8000</x:v>
      </x:c>
      <x:c r="D19" s="36" t="str">
        <x:v>2026-04</x:v>
      </x:c>
      <x:c r="E19" s="36" t="str">
        <x:v>244ページ</x:v>
      </x:c>
      <x:c r="F19" s="36" t="str">
        <x:v>https://webcatalog.lixil.co.jp/iportal/CatalogDetail.do?catalogID=18008840000&amp;categoryID=1680000&amp;designID=newinter&amp;method=initial_screen&amp;position=25&amp;type=mc&amp;volumeID=LXL13001</x:v>
      </x:c>
      <x:c r="G19" s="36" t="str">
        <x:v>2026-08-30</x:v>
      </x:c>
      <x:c r="H19" s="36" t="str">
        <x:v>HIGH</x:v>
      </x:c>
      <x:c r="I19" s="37" t="str">
        <x:v>現行業務用資料の発行年月確認</x:v>
      </x:c>
    </x:row>
    <x:row r="20">
      <x:c r="A20" s="38" t="str">
        <x:v>EV-016</x:v>
      </x:c>
      <x:c r="B20" s="39" t="str">
        <x:v>LIXIL KIN-KEN</x:v>
      </x:c>
      <x:c r="C20" s="39" t="str">
        <x:v>リプラス 商品資料一覧</x:v>
      </x:c>
      <x:c r="D20" s="39" t="str">
        <x:v>現行</x:v>
      </x:c>
      <x:c r="E20" s="39" t="str">
        <x:v>商品資料</x:v>
      </x:c>
      <x:c r="F20" s="39" t="str">
        <x:v>https://kinken.lixil.co.jp/e/products/csseresdet_2671800/documents/webcatalog</x:v>
      </x:c>
      <x:c r="G20" s="39" t="str">
        <x:v>2026-08-30</x:v>
      </x:c>
      <x:c r="H20" s="39" t="str">
        <x:v>HIGH</x:v>
      </x:c>
      <x:c r="I20" s="40" t="str">
        <x:v>現行資料コード/発行時期の確認</x:v>
      </x:c>
    </x:row>
    <x:row r="21">
      <x:c r="A21" s="28" t="str">
        <x:v>EV-017</x:v>
      </x:c>
      <x:c r="B21" s="28" t="str">
        <x:v>商品カタログ</x:v>
      </x:c>
      <x:c r="C21" s="28" t="str">
        <x:v>LIXIL リプラス 商品カタログ SN1200</x:v>
      </x:c>
      <x:c r="D21" s="28" t="str">
        <x:v>2025-08</x:v>
      </x:c>
      <x:c r="E21" s="28" t="str">
        <x:v>p.64-65 / p.69</x:v>
      </x:c>
      <x:c r="F21" s="28" t="str">
        <x:v>https://drive.google.com/file/d/1wH1nhmsftl6y8Mp7y6twtoXSi6rxqxzT/view</x:v>
      </x:c>
      <x:c r="G21" s="28" t="str">
        <x:v>2026-08-30</x:v>
      </x:c>
      <x:c r="H21" s="28" t="str">
        <x:v>HIGH</x:v>
      </x:c>
      <x:c r="I21" s="28" t="str">
        <x:v>居室仕様の網戸形式・機能性ネット・新設サッシ別代表網戸</x:v>
      </x:c>
    </x:row>
    <x:row r="22">
      <x:c r="A22" s="28" t="str">
        <x:v>EV-018</x:v>
      </x:c>
      <x:c r="B22" s="28" t="str">
        <x:v>商品カタログ</x:v>
      </x:c>
      <x:c r="C22" s="28" t="str">
        <x:v>LIXIL リプラス 商品カタログ SN1200</x:v>
      </x:c>
      <x:c r="D22" s="28" t="str">
        <x:v>2025-08</x:v>
      </x:c>
      <x:c r="E22" s="28" t="str">
        <x:v>p.124</x:v>
      </x:c>
      <x:c r="F22" s="28" t="str">
        <x:v>https://drive.google.com/file/d/1wH1nhmsftl6y8Mp7y6twtoXSi6rxqxzT/view</x:v>
      </x:c>
      <x:c r="G22" s="28" t="str">
        <x:v>2026-08-30</x:v>
      </x:c>
      <x:c r="H22" s="28" t="str">
        <x:v>HIGH</x:v>
      </x:c>
      <x:c r="I22" s="28" t="str">
        <x:v>有償品取付可否表・注記1～16</x:v>
      </x:c>
    </x:row>
    <x:row r="23">
      <x:c r="A23" s="28" t="str">
        <x:v>EV-019</x:v>
      </x:c>
      <x:c r="B23" s="28" t="str">
        <x:v>商品カタログ</x:v>
      </x:c>
      <x:c r="C23" s="28" t="str">
        <x:v>LIXIL リプラス 商品カタログ SN1200</x:v>
      </x:c>
      <x:c r="D23" s="28" t="str">
        <x:v>2025-08</x:v>
      </x:c>
      <x:c r="E23" s="28" t="str">
        <x:v>p.208-211</x:v>
      </x:c>
      <x:c r="F23" s="28" t="str">
        <x:v>https://drive.google.com/file/d/1wH1nhmsftl6y8Mp7y6twtoXSi6rxqxzT/view</x:v>
      </x:c>
      <x:c r="G23" s="28" t="str">
        <x:v>2026-08-30</x:v>
      </x:c>
      <x:c r="H23" s="28" t="str">
        <x:v>HIGH</x:v>
      </x:c>
      <x:c r="I23" s="28" t="str">
        <x:v>標準施工/内嵌め判定・下枠補強金具・3点採寸・化粧カバー見付範囲</x:v>
      </x:c>
    </x:row>
    <x:row r="24">
      <x:c r="A24" s="28" t="str">
        <x:v>EV-020</x:v>
      </x:c>
      <x:c r="B24" s="28" t="str">
        <x:v>商品カタログ</x:v>
      </x:c>
      <x:c r="C24" s="28" t="str">
        <x:v>LIXIL リプラス 商品カタログ SN1200</x:v>
      </x:c>
      <x:c r="D24" s="28" t="str">
        <x:v>2025-08</x:v>
      </x:c>
      <x:c r="E24" s="28" t="str">
        <x:v>p.48-49</x:v>
      </x:c>
      <x:c r="F24" s="28" t="str">
        <x:v>https://drive.google.com/file/d/1wH1nhmsftl6y8Mp7y6twtoXSi6rxqxzT/view</x:v>
      </x:c>
      <x:c r="G24" s="28" t="str">
        <x:v>2026-08-30</x:v>
      </x:c>
      <x:c r="H24" s="28" t="str">
        <x:v>HIGH</x:v>
      </x:c>
      <x:c r="I24" s="28" t="str">
        <x:v>居室仕様の複層ガラス体系・Low-E・中空層・追加機能</x:v>
      </x:c>
    </x:row>
    <x:row r="25">
      <x:c r="A25" s="28" t="str">
        <x:v>EV-021</x:v>
      </x:c>
      <x:c r="B25" s="28" t="str">
        <x:v>商品カタログ</x:v>
      </x:c>
      <x:c r="C25" s="28" t="str">
        <x:v>LIXIL リプラス 商品カタログ SN1200</x:v>
      </x:c>
      <x:c r="D25" s="28" t="str">
        <x:v>2025-08</x:v>
      </x:c>
      <x:c r="E25" s="28" t="str">
        <x:v>p.76</x:v>
      </x:c>
      <x:c r="F25" s="28" t="str">
        <x:v>https://drive.google.com/file/d/1wH1nhmsftl6y8Mp7y6twtoXSi6rxqxzT/view</x:v>
      </x:c>
      <x:c r="G25" s="28" t="str">
        <x:v>2026-08-30</x:v>
      </x:c>
      <x:c r="H25" s="28" t="str">
        <x:v>HIGH</x:v>
      </x:c>
      <x:c r="I25" s="28" t="str">
        <x:v>見込みふかし部材の適用条件</x:v>
      </x:c>
    </x:row>
    <x:row r="26">
      <x:c r="A26" s="28" t="str">
        <x:v>EV-022</x:v>
      </x:c>
      <x:c r="B26" s="28" t="str">
        <x:v>業務用資料集</x:v>
      </x:c>
      <x:c r="C26" s="28" t="str">
        <x:v>リプラス・リプラスマンション用 取替窓 業務用資料集</x:v>
      </x:c>
      <x:c r="D26" s="28" t="str">
        <x:v>2026-04</x:v>
      </x:c>
      <x:c r="E26" s="28" t="str">
        <x:v>居室仕様完成品価格表・有償品</x:v>
      </x:c>
      <x:c r="F26" s="28" t="str">
        <x:v>https://drive.google.com/file/d/1D1HPMXhOMYd_Lu10XNzzJR2TH3aDHVUr/view</x:v>
      </x:c>
      <x:c r="G26" s="28" t="str">
        <x:v>2026-08-30</x:v>
      </x:c>
      <x:c r="H26" s="28" t="str">
        <x:v>HIGH</x:v>
      </x:c>
      <x:c r="I26" s="28" t="str">
        <x:v>中桟有無・有償品・価格区分の現行確認</x:v>
      </x:c>
    </x:row>
  </x:sheetData>
  <x:mergeCells>
    <x:mergeCell ref="A1:I1"/>
    <x:mergeCell ref="A2:I2"/>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62" hidden="0" customWidth="1"/>
    <x:col min="4" max="4" width="25" hidden="0" customWidth="1"/>
  </x:cols>
  <x:sheetData>
    <x:row r="1" ht="28" customHeight="1">
      <x:c r="A1" s="4" t="str">
        <x:v>LIXIL リプラス 居室仕様｜商品マスター v1.0 完成版 INDEX</x:v>
      </x:c>
      <x:c r="B1" s="4"/>
      <x:c r="C1" s="4"/>
      <x:c r="D1" s="4"/>
    </x:row>
    <x:row r="2" ht="34" customHeight="1">
      <x:c r="A2" s="11" t="str">
        <x:v>2026-08-30時点。居室仕様を優先し、TWタイプ/EWタイプ/浴室仕様/アタッチ枠/汎用カットモールは次段階で同モデルへ展開。</x:v>
      </x:c>
      <x:c r="B2" s="11"/>
      <x:c r="C2" s="11"/>
      <x:c r="D2" s="11"/>
    </x:row>
    <x:row r="4" ht="30" customHeight="1">
      <x:c r="A4" s="32" t="str">
        <x:v>項目</x:v>
      </x:c>
      <x:c r="B4" s="33" t="str">
        <x:v>状態</x:v>
      </x:c>
      <x:c r="C4" s="33" t="str">
        <x:v>内容</x:v>
      </x:c>
      <x:c r="D4" s="34" t="str">
        <x:v>Evidence</x:v>
      </x:c>
    </x:row>
    <x:row r="5">
      <x:c r="A5" s="140" t="str">
        <x:v>対象</x:v>
      </x:c>
      <x:c r="B5" s="140" t="str">
        <x:v>LIXIL リプラス</x:v>
      </x:c>
      <x:c r="C5" s="140" t="str">
        <x:v>居室仕様（RPL_ROOM）</x:v>
      </x:c>
      <x:c r="D5" s="140" t="str">
        <x:v>v1.0 完成版</x:v>
      </x:c>
    </x:row>
    <x:row r="6">
      <x:c r="A6" s="140" t="str">
        <x:v>完成判定</x:v>
      </x:c>
      <x:c r="B6" s="140" t="str">
        <x:v>COMPLETE</x:v>
      </x:c>
      <x:c r="C6" s="140" t="str">
        <x:v>アプリ投入可能</x:v>
      </x:c>
      <x:c r="D6" s="140" t="str">
        <x:v>特殊境界のみ公式確認</x:v>
      </x:c>
    </x:row>
    <x:row r="7">
      <x:c r="A7" s="140" t="str">
        <x:v>Phase 1</x:v>
      </x:c>
      <x:c r="B7" s="140" t="str">
        <x:v>COMPLETE</x:v>
      </x:c>
      <x:c r="C7" s="140" t="str">
        <x:v>8窓種・枠仕様・商品階層</x:v>
      </x:c>
      <x:c r="D7" s="140" t="str">
        <x:v>EV-002,003,014</x:v>
      </x:c>
    </x:row>
    <x:row r="8">
      <x:c r="A8" s="140" t="str">
        <x:v>Phase 2</x:v>
      </x:c>
      <x:c r="B8" s="140" t="str">
        <x:v>COMPLETE</x:v>
      </x:c>
      <x:c r="C8" s="140" t="str">
        <x:v>採寸/出来寸・基本製作範囲・段差形状</x:v>
      </x:c>
      <x:c r="D8" s="140" t="str">
        <x:v>EV-006～009,013</x:v>
      </x:c>
    </x:row>
    <x:row r="9">
      <x:c r="A9" s="140" t="str">
        <x:v>Phase 3</x:v>
      </x:c>
      <x:c r="B9" s="140" t="str">
        <x:v>COMPLETE</x:v>
      </x:c>
      <x:c r="C9" s="140" t="str">
        <x:v>色・網戸・ガラス</x:v>
      </x:c>
      <x:c r="D9" s="140" t="str">
        <x:v>EV-014,017,020,022</x:v>
      </x:c>
    </x:row>
    <x:row r="10">
      <x:c r="A10" s="140" t="str">
        <x:v>Phase 4</x:v>
      </x:c>
      <x:c r="B10" s="140" t="str">
        <x:v>COMPLETE</x:v>
      </x:c>
      <x:c r="C10" s="140" t="str">
        <x:v>主要OP・併用/必須条件</x:v>
      </x:c>
      <x:c r="D10" s="140" t="str">
        <x:v>EV-018,021</x:v>
      </x:c>
    </x:row>
    <x:row r="11">
      <x:c r="A11" s="140" t="str">
        <x:v>Phase 5</x:v>
      </x:c>
      <x:c r="B11" s="140" t="str">
        <x:v>COMPLETE</x:v>
      </x:c>
      <x:c r="C11" s="140" t="str">
        <x:v>既設適用・現調・見付条件</x:v>
      </x:c>
      <x:c r="D11" s="140" t="str">
        <x:v>EV-010,011,019</x:v>
      </x:c>
    </x:row>
    <x:row r="12">
      <x:c r="A12" s="140" t="str">
        <x:v>Phase 6</x:v>
      </x:c>
      <x:c r="B12" s="140" t="str">
        <x:v>COMPLETE</x:v>
      </x:c>
      <x:c r="C12" s="140" t="str">
        <x:v>Evidence・QA</x:v>
      </x:c>
      <x:c r="D12" s="140" t="str">
        <x:v>EV-001～022</x:v>
      </x:c>
    </x:row>
    <x:row r="13">
      <x:c r="A13" s="140" t="str">
        <x:v>特殊境界</x:v>
      </x:c>
      <x:c r="B13" s="140" t="str">
        <x:v>EXTERNAL_CHECK</x:v>
      </x:c>
      <x:c r="C13" s="140" t="str">
        <x:v>曲線/耐風圧/ガラス面積・戸車耐荷重</x:v>
      </x:c>
      <x:c r="D13" s="140" t="str">
        <x:v>共通仕様どおり通常見積で完全自動化しない</x:v>
      </x:c>
    </x:row>
    <x:row r="14">
      <x:c r="A14" s="38"/>
      <x:c r="B14" s="39"/>
      <x:c r="C14" s="39"/>
      <x:c r="D14" s="40"/>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92" hidden="0" customWidth="1"/>
  </x:cols>
  <x:sheetData>
    <x:row r="1" ht="28" customHeight="1">
      <x:c r="A1" s="4" t="str">
        <x:v>00_README｜LIXIL リプラス 居室仕様 v1.0 完成版</x:v>
      </x:c>
      <x:c r="B1" s="4"/>
    </x:row>
    <x:row r="2" ht="34" customHeight="1">
      <x:c r="A2" s="11" t="str">
        <x:v>通常サッシ用共通仕様を継承しつつ、取替方式・採寸/出来寸・既設窓条件をリプラス固有拡張として追加。</x:v>
      </x:c>
      <x:c r="B2" s="11"/>
    </x:row>
    <x:row r="4" ht="30" customHeight="1">
      <x:c r="A4" s="32" t="str">
        <x:v>キー</x:v>
      </x:c>
      <x:c r="B4" s="34" t="str">
        <x:v>内容</x:v>
      </x:c>
    </x:row>
    <x:row r="5">
      <x:c r="A5" s="35" t="str">
        <x:v>master_id</x:v>
      </x:c>
      <x:c r="B5" s="37" t="str">
        <x:v>LIXIL_RPL_ROOM_V0_1</x:v>
      </x:c>
    </x:row>
    <x:row r="6">
      <x:c r="A6" s="35" t="str">
        <x:v>manufacturer</x:v>
      </x:c>
      <x:c r="B6" s="37" t="str">
        <x:v>LIXIL</x:v>
      </x:c>
    </x:row>
    <x:row r="7">
      <x:c r="A7" s="35" t="str">
        <x:v>series</x:v>
      </x:c>
      <x:c r="B7" s="37" t="str">
        <x:v>リプラス</x:v>
      </x:c>
    </x:row>
    <x:row r="8">
      <x:c r="A8" s="35" t="str">
        <x:v>installation_system</x:v>
      </x:c>
      <x:c r="B8" s="37" t="str">
        <x:v>RPL_DIRECT / リプラス専用取替枠</x:v>
      </x:c>
    </x:row>
    <x:row r="9">
      <x:c r="A9" s="35" t="str">
        <x:v>variation</x:v>
      </x:c>
      <x:c r="B9" s="37" t="str">
        <x:v>RPL_ROOM / 居室仕様</x:v>
      </x:c>
    </x:row>
    <x:row r="10">
      <x:c r="A10" s="35" t="str">
        <x:v>dimension_basis</x:v>
      </x:c>
      <x:c r="B10" s="37" t="str">
        <x:v>採寸寸法 WS/HS と 出来寸 WD/HD を分離</x:v>
      </x:c>
    </x:row>
    <x:row r="11">
      <x:c r="A11" s="35" t="str">
        <x:v>size_formula</x:v>
      </x:c>
      <x:c r="B11" s="37" t="str">
        <x:v>WD=WS-10、HD=HS-10（公式納まり図で確認）</x:v>
      </x:c>
    </x:row>
    <x:row r="12">
      <x:c r="A12" s="35" t="str">
        <x:v>normal_ui_policy</x:v>
      </x:c>
      <x:c r="B12" s="37" t="str">
        <x:v>存在しない候補は非表示。現場調査条件は商品選択UIから分離</x:v>
      </x:c>
    </x:row>
    <x:row r="13">
      <x:c r="A13" s="35" t="str">
        <x:v>wind_pressure_policy</x:v>
      </x:c>
      <x:c r="B13" s="37" t="str">
        <x:v>S-1/S-2/S-3やガラス面積依存の最終境界は特殊案件として公式資料/見積システム確認</x:v>
      </x:c>
    </x:row>
    <x:row r="14">
      <x:c r="A14" s="35" t="str">
        <x:v>status_definition</x:v>
      </x:c>
      <x:c r="B14" s="37" t="str">
        <x:v>COMPLETE=根拠付き投入済 / PARTIAL=主要値投入済だが残件あり / UNCONFIRMED=要追加根拠 / NOT_APPLICABLE=非適用</x:v>
      </x:c>
    </x:row>
    <x:row r="15">
      <x:c r="A15" s="38" t="str">
        <x:v>scope_note</x:v>
      </x:c>
      <x:c r="B15" s="40" t="str">
        <x:v>マンション用／マンション用防火戸は別マスター。今回混在させない</x:v>
      </x:c>
    </x:row>
    <x:row r="16">
      <x:c r="A16" t="str">
        <x:v>completion_status</x:v>
      </x:c>
      <x:c r="B16" t="str">
        <x:v>COMPLETE</x:v>
      </x:c>
    </x:row>
    <x:row r="17">
      <x:c r="A17" t="str">
        <x:v>external_check_policy</x:v>
      </x:c>
      <x:c r="B17" t="str">
        <x:v>寸法図の曲線境界、耐風圧性能、ガラス面積/戸車耐荷重だけは公式カタログ・見積システム確認へ送る</x:v>
      </x:c>
    </x:row>
    <x:row r="18">
      <x:c r="A18" t="str">
        <x:v>canonical_destination</x:v>
      </x:c>
      <x:c r="B18" t="str">
        <x:v>01_住宅サッシ / 04_商品マスター / 01_LIXIL / リプラス</x:v>
      </x:c>
    </x:row>
  </x:sheetData>
  <x:mergeCells>
    <x:mergeCell ref="A1:B1"/>
    <x:mergeCell ref="A2:B2"/>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2" hidden="0" customWidth="1"/>
    <x:col min="3" max="3" width="26" hidden="0" customWidth="1"/>
    <x:col min="4" max="4" width="28" hidden="0" customWidth="1"/>
    <x:col min="5" max="5" width="60" hidden="0" customWidth="1"/>
  </x:cols>
  <x:sheetData>
    <x:row r="1" ht="28" customHeight="1">
      <x:c r="A1" s="4" t="str">
        <x:v>01_入力フロー｜居室仕様</x:v>
      </x:c>
      <x:c r="B1" s="4"/>
      <x:c r="C1" s="4"/>
      <x:c r="D1" s="4"/>
      <x:c r="E1" s="4"/>
    </x:row>
    <x:row r="3" ht="30" customHeight="1">
      <x:c r="A3" s="32" t="str">
        <x:v>順序</x:v>
      </x:c>
      <x:c r="B3" s="33" t="str">
        <x:v>表示項目</x:v>
      </x:c>
      <x:c r="C3" s="33" t="str">
        <x:v>データキー</x:v>
      </x:c>
      <x:c r="D3" s="33" t="str">
        <x:v>候補/入力</x:v>
      </x:c>
      <x:c r="E3" s="34" t="str">
        <x:v>制御方針</x:v>
      </x:c>
    </x:row>
    <x:row r="4">
      <x:c r="A4" s="35" t="n">
        <x:v>1</x:v>
      </x:c>
      <x:c r="B4" s="36" t="str">
        <x:v>取替方式</x:v>
      </x:c>
      <x:c r="C4" s="36" t="str">
        <x:v>installation_system_id</x:v>
      </x:c>
      <x:c r="D4" s="36" t="str">
        <x:v>RPL_DIRECT</x:v>
      </x:c>
      <x:c r="E4" s="37" t="str">
        <x:v>今回固定。将来アタッチ枠/汎用カットモールへ分岐</x:v>
      </x:c>
    </x:row>
    <x:row r="5">
      <x:c r="A5" s="35" t="n">
        <x:v>2</x:v>
      </x:c>
      <x:c r="B5" s="36" t="str">
        <x:v>仕様区分</x:v>
      </x:c>
      <x:c r="C5" s="36" t="str">
        <x:v>variation_id</x:v>
      </x:c>
      <x:c r="D5" s="36" t="str">
        <x:v>RPL_ROOM</x:v>
      </x:c>
      <x:c r="E5" s="37" t="str">
        <x:v>今回固定。TWタイプ/EWタイプ/浴室仕様は別variation</x:v>
      </x:c>
    </x:row>
    <x:row r="6">
      <x:c r="A6" s="35" t="n">
        <x:v>3</x:v>
      </x:c>
      <x:c r="B6" s="36" t="str">
        <x:v>開口構成</x:v>
      </x:c>
      <x:c r="C6" s="36" t="str">
        <x:v>opening_configuration</x:v>
      </x:c>
      <x:c r="D6" s="36" t="str">
        <x:v>SINGLE</x:v>
      </x:c>
      <x:c r="E6" s="37" t="str">
        <x:v>単窓を優先。連窓/段窓は別ルール</x:v>
      </x:c>
    </x:row>
    <x:row r="7">
      <x:c r="A7" s="35" t="n">
        <x:v>4</x:v>
      </x:c>
      <x:c r="B7" s="36" t="str">
        <x:v>窓種</x:v>
      </x:c>
      <x:c r="C7" s="36" t="str">
        <x:v>window_type_id</x:v>
      </x:c>
      <x:c r="D7" s="36" t="str">
        <x:v>8窓種</x:v>
      </x:c>
      <x:c r="E7" s="37" t="str">
        <x:v>操作方式が商品体系を変えるものは窓種IDに含める</x:v>
      </x:c>
    </x:row>
    <x:row r="8">
      <x:c r="A8" s="35" t="n">
        <x:v>5</x:v>
      </x:c>
      <x:c r="B8" s="36" t="str">
        <x:v>枠仕様</x:v>
      </x:c>
      <x:c r="C8" s="36" t="str">
        <x:v>frame_type_id</x:v>
      </x:c>
      <x:c r="D8" s="36" t="str">
        <x:v>STD / BRIDGE</x:v>
      </x:c>
      <x:c r="E8" s="37" t="str">
        <x:v>BRIDGEは引違い窓だけ表示</x:v>
      </x:c>
    </x:row>
    <x:row r="9">
      <x:c r="A9" s="35" t="n">
        <x:v>6</x:v>
      </x:c>
      <x:c r="B9" s="36" t="str">
        <x:v>窓種固有仕様</x:v>
      </x:c>
      <x:c r="C9" s="36" t="str">
        <x:v>solid_spec</x:v>
      </x:c>
      <x:c r="D9" s="36" t="str">
        <x:v>2枚建/4枚建、マド/テラス等</x:v>
      </x:c>
      <x:c r="E9" s="37" t="str">
        <x:v>該当窓種だけ表示</x:v>
      </x:c>
    </x:row>
    <x:row r="10">
      <x:c r="A10" s="35" t="n">
        <x:v>7</x:v>
      </x:c>
      <x:c r="B10" s="36" t="str">
        <x:v>採寸W/H</x:v>
      </x:c>
      <x:c r="C10" s="36" t="str">
        <x:v>survey_w / survey_h</x:v>
      </x:c>
      <x:c r="D10" s="36" t="str">
        <x:v>現場入力</x:v>
      </x:c>
      <x:c r="E10" s="37" t="str">
        <x:v>3箇所採寸・既設状態確認を別レイヤーで管理</x:v>
      </x:c>
    </x:row>
    <x:row r="11">
      <x:c r="A11" s="35" t="n">
        <x:v>8</x:v>
      </x:c>
      <x:c r="B11" s="36" t="str">
        <x:v>出来寸W/H</x:v>
      </x:c>
      <x:c r="C11" s="36" t="str">
        <x:v>finished_w / finished_h</x:v>
      </x:c>
      <x:c r="D11" s="36" t="str">
        <x:v>自動算出</x:v>
      </x:c>
      <x:c r="E11" s="37" t="str">
        <x:v>WD=WS-10、HD=HS-10</x:v>
      </x:c>
    </x:row>
    <x:row r="12">
      <x:c r="A12" s="35" t="n">
        <x:v>9</x:v>
      </x:c>
      <x:c r="B12" s="36" t="str">
        <x:v>色</x:v>
      </x:c>
      <x:c r="C12" s="36" t="str">
        <x:v>color_mode / colors</x:v>
      </x:c>
      <x:c r="D12" s="36" t="str">
        <x:v>同一/組合せ自由</x:v>
      </x:c>
      <x:c r="E12" s="37" t="str">
        <x:v>サッシ色とカバー色を分離</x:v>
      </x:c>
    </x:row>
    <x:row r="13">
      <x:c r="A13" s="35" t="n">
        <x:v>10</x:v>
      </x:c>
      <x:c r="B13" s="36" t="str">
        <x:v>網戸</x:v>
      </x:c>
      <x:c r="C13" s="36" t="str">
        <x:v>screen_type / mesh</x:v>
      </x:c>
      <x:c r="D13" s="36" t="str">
        <x:v>窓種連動</x:v>
      </x:c>
      <x:c r="E13" s="37" t="str">
        <x:v>引違い用中桟を他窓種へ流用しない</x:v>
      </x:c>
    </x:row>
    <x:row r="14">
      <x:c r="A14" s="35" t="n">
        <x:v>11</x:v>
      </x:c>
      <x:c r="B14" s="36" t="str">
        <x:v>ガラス</x:v>
      </x:c>
      <x:c r="C14" s="36" t="str">
        <x:v>glass_category / detail</x:v>
      </x:c>
      <x:c r="D14" s="36" t="str">
        <x:v>窓種連動</x:v>
      </x:c>
      <x:c r="E14" s="37" t="str">
        <x:v>上げ下げ窓FSのみトリプル追加あり</x:v>
      </x:c>
    </x:row>
    <x:row r="15">
      <x:c r="A15" s="35" t="n">
        <x:v>12</x:v>
      </x:c>
      <x:c r="B15" s="36" t="str">
        <x:v>オプション</x:v>
      </x:c>
      <x:c r="C15" s="36" t="str">
        <x:v>option_id</x:v>
      </x:c>
      <x:c r="D15" s="36" t="str">
        <x:v>窓種・サイズ連動</x:v>
      </x:c>
      <x:c r="E15" s="37" t="str">
        <x:v>OP依存関係で非対応候補を除外</x:v>
      </x:c>
    </x:row>
    <x:row r="16">
      <x:c r="A16" s="38" t="n">
        <x:v>13</x:v>
      </x:c>
      <x:c r="B16" s="39" t="str">
        <x:v>現調/適用判定</x:v>
      </x:c>
      <x:c r="C16" s="39" t="str">
        <x:v>applicability</x:v>
      </x:c>
      <x:c r="D16" s="39" t="str">
        <x:v>別UI/判定レイヤー</x:v>
      </x:c>
      <x:c r="E16" s="40" t="str">
        <x:v>既設材質・構造・防火・既設窓種など</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6" hidden="0" customWidth="1"/>
    <x:col min="3" max="3" width="24" hidden="0" customWidth="1"/>
    <x:col min="4" max="4" width="14" hidden="0" customWidth="1"/>
    <x:col min="5" max="5" width="34" hidden="0" customWidth="1"/>
    <x:col min="6" max="6" width="30" hidden="0" customWidth="1"/>
    <x:col min="7" max="7" width="14" hidden="0" customWidth="1"/>
    <x:col min="8" max="8" width="14" hidden="0" customWidth="1"/>
  </x:cols>
  <x:sheetData>
    <x:row r="1" ht="28" customHeight="1">
      <x:c r="A1" s="4" t="str">
        <x:v>02_取替方式｜installation_system</x:v>
      </x:c>
      <x:c r="B1" s="4"/>
      <x:c r="C1" s="4"/>
      <x:c r="D1" s="4"/>
      <x:c r="E1" s="4"/>
      <x:c r="F1" s="4"/>
      <x:c r="G1" s="4"/>
      <x:c r="H1" s="4"/>
    </x:row>
    <x:row r="3" ht="30" customHeight="1">
      <x:c r="A3" s="32" t="str">
        <x:v>installation_system_id</x:v>
      </x:c>
      <x:c r="B3" s="33" t="str">
        <x:v>公式名称</x:v>
      </x:c>
      <x:c r="C3" s="33" t="str">
        <x:v>データ型</x:v>
      </x:c>
      <x:c r="D3" s="33" t="str">
        <x:v>今回範囲</x:v>
      </x:c>
      <x:c r="E3" s="33" t="str">
        <x:v>対応variation</x:v>
      </x:c>
      <x:c r="F3" s="33" t="str">
        <x:v>referenced_product</x:v>
      </x:c>
      <x:c r="G3" s="33" t="str">
        <x:v>status</x:v>
      </x:c>
      <x:c r="H3" s="34" t="str">
        <x:v>evidence</x:v>
      </x:c>
    </x:row>
    <x:row r="4">
      <x:c r="A4" s="35" t="str">
        <x:v>RPL_DIRECT</x:v>
      </x:c>
      <x:c r="B4" s="36" t="str">
        <x:v>リプラス専用取替枠</x:v>
      </x:c>
      <x:c r="C4" s="36" t="str">
        <x:v>完成品/専用枠</x:v>
      </x:c>
      <x:c r="D4" s="36" t="str">
        <x:v>今回対象</x:v>
      </x:c>
      <x:c r="E4" s="36" t="str">
        <x:v>RPL_ROOM / RPL_TW / RPL_EW / RPL_BATH</x:v>
      </x:c>
      <x:c r="F4" s="36" t="str">
        <x:v>—</x:v>
      </x:c>
      <x:c r="G4" s="36" t="str">
        <x:v>COMPLETE</x:v>
      </x:c>
      <x:c r="H4" s="37" t="str">
        <x:v>EV-002</x:v>
      </x:c>
    </x:row>
    <x:row r="5">
      <x:c r="A5" s="35" t="str">
        <x:v>RPL_ATT_TW</x:v>
      </x:c>
      <x:c r="B5" s="36" t="str">
        <x:v>アタッチ枠（TW用）</x:v>
      </x:c>
      <x:c r="C5" s="36" t="str">
        <x:v>リフォーム部材＋TW参照</x:v>
      </x:c>
      <x:c r="D5" s="36" t="str">
        <x:v>次段階</x:v>
      </x:c>
      <x:c r="E5" s="36" t="str">
        <x:v>—</x:v>
      </x:c>
      <x:c r="F5" s="36" t="str">
        <x:v>TW商品マスター参照</x:v>
      </x:c>
      <x:c r="G5" s="36" t="str">
        <x:v>PARTIAL</x:v>
      </x:c>
      <x:c r="H5" s="37" t="str">
        <x:v>EV-003</x:v>
      </x:c>
    </x:row>
    <x:row r="6">
      <x:c r="A6" s="35" t="str">
        <x:v>RPL_ATT_TH</x:v>
      </x:c>
      <x:c r="B6" s="36" t="str">
        <x:v>アタッチ枠（サーモス用）</x:v>
      </x:c>
      <x:c r="C6" s="36" t="str">
        <x:v>リフォーム部材＋サーモス参照</x:v>
      </x:c>
      <x:c r="D6" s="36" t="str">
        <x:v>次段階</x:v>
      </x:c>
      <x:c r="E6" s="36" t="str">
        <x:v>—</x:v>
      </x:c>
      <x:c r="F6" s="36" t="str">
        <x:v>サーモス商品マスター参照</x:v>
      </x:c>
      <x:c r="G6" s="36" t="str">
        <x:v>PARTIAL</x:v>
      </x:c>
      <x:c r="H6" s="37" t="str">
        <x:v>EV-003</x:v>
      </x:c>
    </x:row>
    <x:row r="7">
      <x:c r="A7" s="38" t="str">
        <x:v>RPL_CUT_MALL</x:v>
      </x:c>
      <x:c r="B7" s="39" t="str">
        <x:v>汎用カットモール</x:v>
      </x:c>
      <x:c r="C7" s="39" t="str">
        <x:v>モール材＋新設サッシ参照</x:v>
      </x:c>
      <x:c r="D7" s="39" t="str">
        <x:v>次段階</x:v>
      </x:c>
      <x:c r="E7" s="39" t="str">
        <x:v>—</x:v>
      </x:c>
      <x:c r="F7" s="39" t="str">
        <x:v>新設サッシ商品マスター参照</x:v>
      </x:c>
      <x:c r="G7" s="39" t="str">
        <x:v>PARTIAL</x:v>
      </x:c>
      <x:c r="H7" s="40" t="str">
        <x:v>EV-003</x:v>
      </x:c>
    </x:row>
  </x:sheetData>
  <x:mergeCells>
    <x:mergeCell ref="A1:H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24" hidden="0" customWidth="1"/>
    <x:col min="4" max="4" width="14" hidden="0" customWidth="1"/>
    <x:col min="5" max="5" width="18" hidden="0" customWidth="1"/>
    <x:col min="6" max="6" width="14" hidden="0" customWidth="1"/>
    <x:col min="7" max="7" width="14" hidden="0" customWidth="1"/>
  </x:cols>
  <x:sheetData>
    <x:row r="1" ht="28" customHeight="1">
      <x:c r="A1" s="4" t="str">
        <x:v>02A_仕様区分｜variation</x:v>
      </x:c>
      <x:c r="B1" s="4"/>
      <x:c r="C1" s="4"/>
      <x:c r="D1" s="4"/>
      <x:c r="E1" s="4"/>
      <x:c r="F1" s="4"/>
      <x:c r="G1" s="4"/>
    </x:row>
    <x:row r="3" ht="30" customHeight="1">
      <x:c r="A3" s="32" t="str">
        <x:v>variation_id</x:v>
      </x:c>
      <x:c r="B3" s="33" t="str">
        <x:v>公式名称</x:v>
      </x:c>
      <x:c r="C3" s="33" t="str">
        <x:v>installation_system_id</x:v>
      </x:c>
      <x:c r="D3" s="33" t="str">
        <x:v>用途</x:v>
      </x:c>
      <x:c r="E3" s="33" t="str">
        <x:v>今回状態</x:v>
      </x:c>
      <x:c r="F3" s="33" t="str">
        <x:v>status</x:v>
      </x:c>
      <x:c r="G3" s="34" t="str">
        <x:v>evidence</x:v>
      </x:c>
    </x:row>
    <x:row r="4">
      <x:c r="A4" s="35" t="str">
        <x:v>RPL_ROOM</x:v>
      </x:c>
      <x:c r="B4" s="36" t="str">
        <x:v>居室仕様</x:v>
      </x:c>
      <x:c r="C4" s="36" t="str">
        <x:v>RPL_DIRECT</x:v>
      </x:c>
      <x:c r="D4" s="36" t="str">
        <x:v>居室</x:v>
      </x:c>
      <x:c r="E4" s="36" t="str">
        <x:v>今回本格投入</x:v>
      </x:c>
      <x:c r="F4" s="36" t="str">
        <x:v>COMPLETE</x:v>
      </x:c>
      <x:c r="G4" s="37" t="str">
        <x:v>EV-002,003</x:v>
      </x:c>
    </x:row>
    <x:row r="5">
      <x:c r="A5" s="35" t="str">
        <x:v>RPL_TW</x:v>
      </x:c>
      <x:c r="B5" s="36" t="str">
        <x:v>居室仕様 TWタイプ</x:v>
      </x:c>
      <x:c r="C5" s="36" t="str">
        <x:v>RPL_DIRECT</x:v>
      </x:c>
      <x:c r="D5" s="36" t="str">
        <x:v>居室</x:v>
      </x:c>
      <x:c r="E5" s="36" t="str">
        <x:v>次段階</x:v>
      </x:c>
      <x:c r="F5" s="36" t="str">
        <x:v>PARTIAL</x:v>
      </x:c>
      <x:c r="G5" s="37" t="str">
        <x:v>EV-002,003</x:v>
      </x:c>
    </x:row>
    <x:row r="6">
      <x:c r="A6" s="35" t="str">
        <x:v>RPL_EW</x:v>
      </x:c>
      <x:c r="B6" s="36" t="str">
        <x:v>居室仕様 EWタイプ</x:v>
      </x:c>
      <x:c r="C6" s="36" t="str">
        <x:v>RPL_DIRECT</x:v>
      </x:c>
      <x:c r="D6" s="36" t="str">
        <x:v>居室</x:v>
      </x:c>
      <x:c r="E6" s="36" t="str">
        <x:v>次段階</x:v>
      </x:c>
      <x:c r="F6" s="36" t="str">
        <x:v>PARTIAL</x:v>
      </x:c>
      <x:c r="G6" s="37" t="str">
        <x:v>EV-002,003</x:v>
      </x:c>
    </x:row>
    <x:row r="7">
      <x:c r="A7" s="38" t="str">
        <x:v>RPL_BATH</x:v>
      </x:c>
      <x:c r="B7" s="39" t="str">
        <x:v>浴室仕様</x:v>
      </x:c>
      <x:c r="C7" s="39" t="str">
        <x:v>RPL_DIRECT</x:v>
      </x:c>
      <x:c r="D7" s="39" t="str">
        <x:v>浴室</x:v>
      </x:c>
      <x:c r="E7" s="39" t="str">
        <x:v>次段階</x:v>
      </x:c>
      <x:c r="F7" s="39" t="str">
        <x:v>PARTIAL</x:v>
      </x:c>
      <x:c r="G7" s="40" t="str">
        <x:v>EV-002,003</x:v>
      </x:c>
    </x:row>
  </x:sheetData>
  <x:mergeCells>
    <x:mergeCell ref="A1:G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38" hidden="0" customWidth="1"/>
    <x:col min="3" max="3" width="16" hidden="0" customWidth="1"/>
    <x:col min="4" max="4" width="18" hidden="0" customWidth="1"/>
    <x:col min="5" max="5" width="54" hidden="0" customWidth="1"/>
    <x:col min="6" max="6" width="14" hidden="0" customWidth="1"/>
    <x:col min="7" max="7" width="16" hidden="0" customWidth="1"/>
  </x:cols>
  <x:sheetData>
    <x:row r="1" ht="28" customHeight="1">
      <x:c r="A1" s="4" t="str">
        <x:v>03_窓種｜居室仕様 正式窓種</x:v>
      </x:c>
      <x:c r="B1" s="4"/>
      <x:c r="C1" s="4"/>
      <x:c r="D1" s="4"/>
      <x:c r="E1" s="4"/>
      <x:c r="F1" s="4"/>
      <x:c r="G1" s="4"/>
    </x:row>
    <x:row r="2" ht="34" customHeight="1">
      <x:c r="A2" s="11" t="str">
        <x:v>公式ラインアップ p.28 と2026業務用資料集を突合。グレモン/高所用/通常上げ下げ等を居室仕様へ推測追加しない。</x:v>
      </x:c>
      <x:c r="B2" s="11"/>
      <x:c r="C2" s="11"/>
      <x:c r="D2" s="11"/>
      <x:c r="E2" s="11"/>
      <x:c r="F2" s="11"/>
      <x:c r="G2" s="11"/>
    </x:row>
    <x:row r="4" ht="30" customHeight="1">
      <x:c r="A4" s="32" t="str">
        <x:v>window_type_id</x:v>
      </x:c>
      <x:c r="B4" s="33" t="str">
        <x:v>公式名称</x:v>
      </x:c>
      <x:c r="C4" s="33" t="str">
        <x:v>分類</x:v>
      </x:c>
      <x:c r="D4" s="33" t="str">
        <x:v>操作方式</x:v>
      </x:c>
      <x:c r="E4" s="33" t="str">
        <x:v>固有仕様メモ</x:v>
      </x:c>
      <x:c r="F4" s="33" t="str">
        <x:v>status</x:v>
      </x:c>
      <x:c r="G4" s="34" t="str">
        <x:v>evidence</x:v>
      </x:c>
    </x:row>
    <x:row r="5">
      <x:c r="A5" s="35" t="str">
        <x:v>RPL_ROOM_SLD</x:v>
      </x:c>
      <x:c r="B5" s="36" t="str">
        <x:v>引違い窓</x:v>
      </x:c>
      <x:c r="C5" s="36" t="str">
        <x:v>引違い</x:v>
      </x:c>
      <x:c r="D5" s="36" t="str">
        <x:v>—</x:v>
      </x:c>
      <x:c r="E5" s="36" t="str">
        <x:v>2枚建/4枚建、マド/テラス</x:v>
      </x:c>
      <x:c r="F5" s="36" t="str">
        <x:v>COMPLETE</x:v>
      </x:c>
      <x:c r="G5" s="37" t="str">
        <x:v>EV-002,003</x:v>
      </x:c>
    </x:row>
    <x:row r="6">
      <x:c r="A6" s="35" t="str">
        <x:v>RPL_ROOM_VS_OP</x:v>
      </x:c>
      <x:c r="B6" s="36" t="str">
        <x:v>縦すべり出し窓（オペレーター）</x:v>
      </x:c>
      <x:c r="C6" s="36" t="str">
        <x:v>装飾窓</x:v>
      </x:c>
      <x:c r="D6" s="36" t="str">
        <x:v>オペレーター</x:v>
      </x:c>
      <x:c r="E6" s="36" t="str">
        <x:v>単窓/TF/TFTを別固有仕様で管理</x:v>
      </x:c>
      <x:c r="F6" s="36" t="str">
        <x:v>COMPLETE</x:v>
      </x:c>
      <x:c r="G6" s="37" t="str">
        <x:v>EV-002,003</x:v>
      </x:c>
    </x:row>
    <x:row r="7">
      <x:c r="A7" s="35" t="str">
        <x:v>RPL_ROOM_VS_CAM</x:v>
      </x:c>
      <x:c r="B7" s="36" t="str">
        <x:v>縦すべり出し窓（カムラッチ）</x:v>
      </x:c>
      <x:c r="C7" s="36" t="str">
        <x:v>装飾窓</x:v>
      </x:c>
      <x:c r="D7" s="36" t="str">
        <x:v>カムラッチ</x:v>
      </x:c>
      <x:c r="E7" s="36" t="str">
        <x:v>サイズにより網戸方式条件あり</x:v>
      </x:c>
      <x:c r="F7" s="36" t="str">
        <x:v>COMPLETE</x:v>
      </x:c>
      <x:c r="G7" s="37" t="str">
        <x:v>EV-002,003</x:v>
      </x:c>
    </x:row>
    <x:row r="8">
      <x:c r="A8" s="35" t="str">
        <x:v>RPL_ROOM_HS_OP</x:v>
      </x:c>
      <x:c r="B8" s="36" t="str">
        <x:v>横すべり出し窓（オペレーター）</x:v>
      </x:c>
      <x:c r="C8" s="36" t="str">
        <x:v>装飾窓</x:v>
      </x:c>
      <x:c r="D8" s="36" t="str">
        <x:v>オペレーター</x:v>
      </x:c>
      <x:c r="E8" s="36" t="str">
        <x:v>サイズ別サブロック条件あり</x:v>
      </x:c>
      <x:c r="F8" s="36" t="str">
        <x:v>COMPLETE</x:v>
      </x:c>
      <x:c r="G8" s="37" t="str">
        <x:v>EV-002,003</x:v>
      </x:c>
    </x:row>
    <x:row r="9">
      <x:c r="A9" s="35" t="str">
        <x:v>RPL_ROOM_HS_CAM</x:v>
      </x:c>
      <x:c r="B9" s="36" t="str">
        <x:v>横すべり出し窓（カムラッチ）</x:v>
      </x:c>
      <x:c r="C9" s="36" t="str">
        <x:v>装飾窓</x:v>
      </x:c>
      <x:c r="D9" s="36" t="str">
        <x:v>カムラッチ</x:v>
      </x:c>
      <x:c r="E9" s="36" t="str">
        <x:v>—</x:v>
      </x:c>
      <x:c r="F9" s="36" t="str">
        <x:v>COMPLETE</x:v>
      </x:c>
      <x:c r="G9" s="37" t="str">
        <x:v>EV-002,003</x:v>
      </x:c>
    </x:row>
    <x:row r="10">
      <x:c r="A10" s="35" t="str">
        <x:v>RPL_ROOM_DHFS</x:v>
      </x:c>
      <x:c r="B10" s="36" t="str">
        <x:v>上げ下げ窓FS（フラットスライド）</x:v>
      </x:c>
      <x:c r="C10" s="36" t="str">
        <x:v>装飾窓</x:v>
      </x:c>
      <x:c r="D10" s="36" t="str">
        <x:v>フラットスライド</x:v>
      </x:c>
      <x:c r="E10" s="36" t="str">
        <x:v>ガラス重量/清掃アーム等の条件あり</x:v>
      </x:c>
      <x:c r="F10" s="36" t="str">
        <x:v>COMPLETE</x:v>
      </x:c>
      <x:c r="G10" s="37" t="str">
        <x:v>EV-002,003</x:v>
      </x:c>
    </x:row>
    <x:row r="11">
      <x:c r="A11" s="35" t="str">
        <x:v>RPL_ROOM_FIX_OUT</x:v>
      </x:c>
      <x:c r="B11" s="36" t="str">
        <x:v>FIX窓（外押縁タイプ）</x:v>
      </x:c>
      <x:c r="C11" s="36" t="str">
        <x:v>装飾窓</x:v>
      </x:c>
      <x:c r="D11" s="36" t="str">
        <x:v>FIX</x:v>
      </x:c>
      <x:c r="E11" s="36" t="str">
        <x:v>断熱パネル製作範囲あり</x:v>
      </x:c>
      <x:c r="F11" s="36" t="str">
        <x:v>COMPLETE</x:v>
      </x:c>
      <x:c r="G11" s="37" t="str">
        <x:v>EV-002,003</x:v>
      </x:c>
    </x:row>
    <x:row r="12">
      <x:c r="A12" s="38" t="str">
        <x:v>RPL_ROOM_FIX_IN</x:v>
      </x:c>
      <x:c r="B12" s="39" t="str">
        <x:v>FIX窓（内押縁タイプ）</x:v>
      </x:c>
      <x:c r="C12" s="39" t="str">
        <x:v>装飾窓</x:v>
      </x:c>
      <x:c r="D12" s="39" t="str">
        <x:v>FIX</x:v>
      </x:c>
      <x:c r="E12" s="39" t="str">
        <x:v>—</x:v>
      </x:c>
      <x:c r="F12" s="39" t="str">
        <x:v>COMPLETE</x:v>
      </x:c>
      <x:c r="G12" s="40" t="str">
        <x:v>EV-002,003</x:v>
      </x:c>
    </x:row>
  </x:sheetData>
  <x:mergeCells>
    <x:mergeCell ref="A1:G1"/>
    <x:mergeCell ref="A2:G2"/>
  </x:mergeCell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2" hidden="0" customWidth="1"/>
    <x:col min="3" max="3" width="18" hidden="0" customWidth="1"/>
    <x:col min="4" max="4" width="62" hidden="0" customWidth="1"/>
    <x:col min="5" max="5" width="14" hidden="0" customWidth="1"/>
    <x:col min="6" max="6" width="16" hidden="0" customWidth="1"/>
  </x:cols>
  <x:sheetData>
    <x:row r="1" ht="28" customHeight="1">
      <x:c r="A1" s="4" t="str">
        <x:v>03A_枠仕様｜frame_type</x:v>
      </x:c>
      <x:c r="B1" s="4"/>
      <x:c r="C1" s="4"/>
      <x:c r="D1" s="4"/>
      <x:c r="E1" s="4"/>
      <x:c r="F1" s="4"/>
    </x:row>
    <x:row r="3" ht="30" customHeight="1">
      <x:c r="A3" s="32" t="str">
        <x:v>frame_type_id</x:v>
      </x:c>
      <x:c r="B3" s="33" t="str">
        <x:v>公式名称</x:v>
      </x:c>
      <x:c r="C3" s="33" t="str">
        <x:v>分類</x:v>
      </x:c>
      <x:c r="D3" s="33" t="str">
        <x:v>説明</x:v>
      </x:c>
      <x:c r="E3" s="33" t="str">
        <x:v>status</x:v>
      </x:c>
      <x:c r="F3" s="34" t="str">
        <x:v>evidence</x:v>
      </x:c>
    </x:row>
    <x:row r="4">
      <x:c r="A4" s="35" t="str">
        <x:v>RPL_STD</x:v>
      </x:c>
      <x:c r="B4" s="36" t="str">
        <x:v>標準枠</x:v>
      </x:c>
      <x:c r="C4" s="36" t="str">
        <x:v>標準</x:v>
      </x:c>
      <x:c r="D4" s="36" t="str">
        <x:v>専用取替枠</x:v>
      </x:c>
      <x:c r="E4" s="36" t="str">
        <x:v>COMPLETE</x:v>
      </x:c>
      <x:c r="F4" s="37" t="str">
        <x:v>EV-002,003</x:v>
      </x:c>
    </x:row>
    <x:row r="5">
      <x:c r="A5" s="38" t="str">
        <x:v>RPL_BRIDGE</x:v>
      </x:c>
      <x:c r="B5" s="39" t="str">
        <x:v>ブリッジ枠</x:v>
      </x:c>
      <x:c r="C5" s="39" t="str">
        <x:v>断熱強化</x:v>
      </x:c>
      <x:c r="D5" s="39" t="str">
        <x:v>サーマルブレイク構造。居室仕様では引違い窓で選択</x:v>
      </x:c>
      <x:c r="E5" s="39" t="str">
        <x:v>COMPLETE</x:v>
      </x:c>
      <x:c r="F5" s="40" t="str">
        <x:v>EV-007,014</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5" hidden="0" customWidth="1"/>
    <x:col min="3" max="3" width="18" hidden="0" customWidth="1"/>
    <x:col min="4" max="4" width="12" hidden="0" customWidth="1"/>
    <x:col min="5" max="5" width="14" hidden="0" customWidth="1"/>
    <x:col min="6" max="6" width="16" hidden="0" customWidth="1"/>
  </x:cols>
  <x:sheetData>
    <x:row r="1" ht="28" customHeight="1">
      <x:c r="A1" s="4" t="str">
        <x:v>03B_窓種枠設定｜variation × window × frame</x:v>
      </x:c>
      <x:c r="B1" s="4"/>
      <x:c r="C1" s="4"/>
      <x:c r="D1" s="4"/>
      <x:c r="E1" s="4"/>
      <x:c r="F1" s="4"/>
    </x:row>
    <x:row r="2" ht="34" customHeight="1">
      <x:c r="A2" s="11" t="str">
        <x:v>ブリッジ枠は引違い窓のみ候補表示。他7窓種にはBRIDGEを表示しない。</x:v>
      </x:c>
      <x:c r="B2" s="11"/>
      <x:c r="C2" s="11"/>
      <x:c r="D2" s="11"/>
      <x:c r="E2" s="11"/>
      <x:c r="F2" s="11"/>
    </x:row>
    <x:row r="4" ht="30" customHeight="1">
      <x:c r="A4" s="32" t="str">
        <x:v>variation_id</x:v>
      </x:c>
      <x:c r="B4" s="33" t="str">
        <x:v>window_type_id</x:v>
      </x:c>
      <x:c r="C4" s="33" t="str">
        <x:v>frame_type_id</x:v>
      </x:c>
      <x:c r="D4" s="33" t="str">
        <x:v>selectable</x:v>
      </x:c>
      <x:c r="E4" s="33" t="str">
        <x:v>status</x:v>
      </x:c>
      <x:c r="F4" s="34" t="str">
        <x:v>evidence</x:v>
      </x:c>
    </x:row>
    <x:row r="5">
      <x:c r="A5" s="35" t="str">
        <x:v>RPL_ROOM</x:v>
      </x:c>
      <x:c r="B5" s="36" t="str">
        <x:v>RPL_ROOM_SLD</x:v>
      </x:c>
      <x:c r="C5" s="36" t="str">
        <x:v>RPL_STD</x:v>
      </x:c>
      <x:c r="D5" s="58" t="b">
        <x:v>1</x:v>
      </x:c>
      <x:c r="E5" s="36" t="str">
        <x:v>COMPLETE</x:v>
      </x:c>
      <x:c r="F5" s="37" t="str">
        <x:v>EV-002,003</x:v>
      </x:c>
    </x:row>
    <x:row r="6">
      <x:c r="A6" s="35" t="str">
        <x:v>RPL_ROOM</x:v>
      </x:c>
      <x:c r="B6" s="36" t="str">
        <x:v>RPL_ROOM_SLD</x:v>
      </x:c>
      <x:c r="C6" s="36" t="str">
        <x:v>RPL_BRIDGE</x:v>
      </x:c>
      <x:c r="D6" s="58" t="b">
        <x:v>1</x:v>
      </x:c>
      <x:c r="E6" s="36" t="str">
        <x:v>COMPLETE</x:v>
      </x:c>
      <x:c r="F6" s="37" t="str">
        <x:v>EV-007,014</x:v>
      </x:c>
    </x:row>
    <x:row r="7">
      <x:c r="A7" s="35" t="str">
        <x:v>RPL_ROOM</x:v>
      </x:c>
      <x:c r="B7" s="36" t="str">
        <x:v>RPL_ROOM_VS_OP</x:v>
      </x:c>
      <x:c r="C7" s="36" t="str">
        <x:v>RPL_STD</x:v>
      </x:c>
      <x:c r="D7" s="58" t="b">
        <x:v>1</x:v>
      </x:c>
      <x:c r="E7" s="36" t="str">
        <x:v>COMPLETE</x:v>
      </x:c>
      <x:c r="F7" s="37" t="str">
        <x:v>EV-002,003</x:v>
      </x:c>
    </x:row>
    <x:row r="8">
      <x:c r="A8" s="35" t="str">
        <x:v>RPL_ROOM</x:v>
      </x:c>
      <x:c r="B8" s="36" t="str">
        <x:v>RPL_ROOM_VS_CAM</x:v>
      </x:c>
      <x:c r="C8" s="36" t="str">
        <x:v>RPL_STD</x:v>
      </x:c>
      <x:c r="D8" s="58" t="b">
        <x:v>1</x:v>
      </x:c>
      <x:c r="E8" s="36" t="str">
        <x:v>COMPLETE</x:v>
      </x:c>
      <x:c r="F8" s="37" t="str">
        <x:v>EV-002,003</x:v>
      </x:c>
    </x:row>
    <x:row r="9">
      <x:c r="A9" s="35" t="str">
        <x:v>RPL_ROOM</x:v>
      </x:c>
      <x:c r="B9" s="36" t="str">
        <x:v>RPL_ROOM_HS_OP</x:v>
      </x:c>
      <x:c r="C9" s="36" t="str">
        <x:v>RPL_STD</x:v>
      </x:c>
      <x:c r="D9" s="58" t="b">
        <x:v>1</x:v>
      </x:c>
      <x:c r="E9" s="36" t="str">
        <x:v>COMPLETE</x:v>
      </x:c>
      <x:c r="F9" s="37" t="str">
        <x:v>EV-002,003</x:v>
      </x:c>
    </x:row>
    <x:row r="10">
      <x:c r="A10" s="35" t="str">
        <x:v>RPL_ROOM</x:v>
      </x:c>
      <x:c r="B10" s="36" t="str">
        <x:v>RPL_ROOM_HS_CAM</x:v>
      </x:c>
      <x:c r="C10" s="36" t="str">
        <x:v>RPL_STD</x:v>
      </x:c>
      <x:c r="D10" s="58" t="b">
        <x:v>1</x:v>
      </x:c>
      <x:c r="E10" s="36" t="str">
        <x:v>COMPLETE</x:v>
      </x:c>
      <x:c r="F10" s="37" t="str">
        <x:v>EV-002,003</x:v>
      </x:c>
    </x:row>
    <x:row r="11">
      <x:c r="A11" s="35" t="str">
        <x:v>RPL_ROOM</x:v>
      </x:c>
      <x:c r="B11" s="36" t="str">
        <x:v>RPL_ROOM_DHFS</x:v>
      </x:c>
      <x:c r="C11" s="36" t="str">
        <x:v>RPL_STD</x:v>
      </x:c>
      <x:c r="D11" s="58" t="b">
        <x:v>1</x:v>
      </x:c>
      <x:c r="E11" s="36" t="str">
        <x:v>COMPLETE</x:v>
      </x:c>
      <x:c r="F11" s="37" t="str">
        <x:v>EV-002,003</x:v>
      </x:c>
    </x:row>
    <x:row r="12">
      <x:c r="A12" s="35" t="str">
        <x:v>RPL_ROOM</x:v>
      </x:c>
      <x:c r="B12" s="36" t="str">
        <x:v>RPL_ROOM_FIX_OUT</x:v>
      </x:c>
      <x:c r="C12" s="36" t="str">
        <x:v>RPL_STD</x:v>
      </x:c>
      <x:c r="D12" s="58" t="b">
        <x:v>1</x:v>
      </x:c>
      <x:c r="E12" s="36" t="str">
        <x:v>COMPLETE</x:v>
      </x:c>
      <x:c r="F12" s="37" t="str">
        <x:v>EV-002,003</x:v>
      </x:c>
    </x:row>
    <x:row r="13">
      <x:c r="A13" s="38" t="str">
        <x:v>RPL_ROOM</x:v>
      </x:c>
      <x:c r="B13" s="39" t="str">
        <x:v>RPL_ROOM_FIX_IN</x:v>
      </x:c>
      <x:c r="C13" s="39" t="str">
        <x:v>RPL_STD</x:v>
      </x:c>
      <x:c r="D13" s="59" t="b">
        <x:v>1</x:v>
      </x:c>
      <x:c r="E13" s="39" t="str">
        <x:v>COMPLETE</x:v>
      </x:c>
      <x:c r="F13" s="40" t="str">
        <x:v>EV-002,003</x:v>
      </x:c>
    </x:row>
  </x:sheetData>
  <x:mergeCells>
    <x:mergeCell ref="A1:F1"/>
    <x:mergeCell ref="A2:F2"/>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5" hidden="0" customWidth="1"/>
    <x:col min="3" max="3" width="22" hidden="0" customWidth="1"/>
    <x:col min="4" max="4" width="24" hidden="0" customWidth="1"/>
    <x:col min="5" max="5" width="16" hidden="0" customWidth="1"/>
    <x:col min="6" max="6" width="58" hidden="0" customWidth="1"/>
    <x:col min="7" max="7" width="14" hidden="0" customWidth="1"/>
    <x:col min="8" max="8" width="16" hidden="0" customWidth="1"/>
  </x:cols>
  <x:sheetData>
    <x:row r="1" ht="28" customHeight="1">
      <x:c r="A1" s="4" t="str">
        <x:v>04_窓種固有仕様｜商品構造に影響する選択</x:v>
      </x:c>
      <x:c r="B1" s="4"/>
      <x:c r="C1" s="4"/>
      <x:c r="D1" s="4"/>
      <x:c r="E1" s="4"/>
      <x:c r="F1" s="4"/>
      <x:c r="G1" s="4"/>
      <x:c r="H1" s="4"/>
    </x:row>
    <x:row r="3" ht="30" customHeight="1">
      <x:c r="A3" s="32" t="str">
        <x:v>solid_spec_id</x:v>
      </x:c>
      <x:c r="B3" s="33" t="str">
        <x:v>window_type_id</x:v>
      </x:c>
      <x:c r="C3" s="33" t="str">
        <x:v>spec_type</x:v>
      </x:c>
      <x:c r="D3" s="33" t="str">
        <x:v>公式値</x:v>
      </x:c>
      <x:c r="E3" s="33" t="str">
        <x:v>selection_mode</x:v>
      </x:c>
      <x:c r="F3" s="33" t="str">
        <x:v>適用条件</x:v>
      </x:c>
      <x:c r="G3" s="33" t="str">
        <x:v>status</x:v>
      </x:c>
      <x:c r="H3" s="34" t="str">
        <x:v>evidence</x:v>
      </x:c>
    </x:row>
    <x:row r="4">
      <x:c r="A4" s="35" t="str">
        <x:v>SS-SLD-PANEL-2</x:v>
      </x:c>
      <x:c r="B4" s="36" t="str">
        <x:v>RPL_ROOM_SLD</x:v>
      </x:c>
      <x:c r="C4" s="36" t="str">
        <x:v>panel_configuration</x:v>
      </x:c>
      <x:c r="D4" s="36" t="str">
        <x:v>2枚建</x:v>
      </x:c>
      <x:c r="E4" s="36" t="str">
        <x:v>EXCLUSIVE</x:v>
      </x:c>
      <x:c r="F4" s="36" t="str">
        <x:v>引違い窓</x:v>
      </x:c>
      <x:c r="G4" s="36" t="str">
        <x:v>COMPLETE</x:v>
      </x:c>
      <x:c r="H4" s="37" t="str">
        <x:v>EV-006,007</x:v>
      </x:c>
    </x:row>
    <x:row r="5">
      <x:c r="A5" s="35" t="str">
        <x:v>SS-SLD-PANEL-4</x:v>
      </x:c>
      <x:c r="B5" s="36" t="str">
        <x:v>RPL_ROOM_SLD</x:v>
      </x:c>
      <x:c r="C5" s="36" t="str">
        <x:v>panel_configuration</x:v>
      </x:c>
      <x:c r="D5" s="36" t="str">
        <x:v>4枚建</x:v>
      </x:c>
      <x:c r="E5" s="36" t="str">
        <x:v>EXCLUSIVE</x:v>
      </x:c>
      <x:c r="F5" s="36" t="str">
        <x:v>引違い窓</x:v>
      </x:c>
      <x:c r="G5" s="36" t="str">
        <x:v>COMPLETE</x:v>
      </x:c>
      <x:c r="H5" s="37" t="str">
        <x:v>EV-006,007</x:v>
      </x:c>
    </x:row>
    <x:row r="6">
      <x:c r="A6" s="35" t="str">
        <x:v>SS-SLD-MAD</x:v>
      </x:c>
      <x:c r="B6" s="36" t="str">
        <x:v>RPL_ROOM_SLD</x:v>
      </x:c>
      <x:c r="C6" s="36" t="str">
        <x:v>height_category</x:v>
      </x:c>
      <x:c r="D6" s="36" t="str">
        <x:v>マド</x:v>
      </x:c>
      <x:c r="E6" s="36" t="str">
        <x:v>EXCLUSIVE</x:v>
      </x:c>
      <x:c r="F6" s="36" t="str">
        <x:v>引違い窓</x:v>
      </x:c>
      <x:c r="G6" s="36" t="str">
        <x:v>COMPLETE</x:v>
      </x:c>
      <x:c r="H6" s="37" t="str">
        <x:v>EV-006,007</x:v>
      </x:c>
    </x:row>
    <x:row r="7">
      <x:c r="A7" s="35" t="str">
        <x:v>SS-SLD-TER</x:v>
      </x:c>
      <x:c r="B7" s="36" t="str">
        <x:v>RPL_ROOM_SLD</x:v>
      </x:c>
      <x:c r="C7" s="36" t="str">
        <x:v>height_category</x:v>
      </x:c>
      <x:c r="D7" s="36" t="str">
        <x:v>テラス</x:v>
      </x:c>
      <x:c r="E7" s="36" t="str">
        <x:v>EXCLUSIVE</x:v>
      </x:c>
      <x:c r="F7" s="36" t="str">
        <x:v>引違い窓</x:v>
      </x:c>
      <x:c r="G7" s="36" t="str">
        <x:v>COMPLETE</x:v>
      </x:c>
      <x:c r="H7" s="37" t="str">
        <x:v>EV-006,007</x:v>
      </x:c>
    </x:row>
    <x:row r="8">
      <x:c r="A8" s="35" t="str">
        <x:v>SS-SLD-PG</x:v>
      </x:c>
      <x:c r="B8" s="36" t="str">
        <x:v>RPL_ROOM_SLD</x:v>
      </x:c>
      <x:c r="C8" s="36" t="str">
        <x:v>sash_configuration</x:v>
      </x:c>
      <x:c r="D8" s="36" t="str">
        <x:v>PG障子</x:v>
      </x:c>
      <x:c r="E8" s="36" t="str">
        <x:v>EXCLUSIVE</x:v>
      </x:c>
      <x:c r="F8" s="36" t="str">
        <x:v>引違い窓</x:v>
      </x:c>
      <x:c r="G8" s="36" t="str">
        <x:v>COMPLETE</x:v>
      </x:c>
      <x:c r="H8" s="37" t="str">
        <x:v>EV-006,007</x:v>
      </x:c>
    </x:row>
    <x:row r="9">
      <x:c r="A9" s="35" t="str">
        <x:v>SS-SLD-HANDLE</x:v>
      </x:c>
      <x:c r="B9" s="36" t="str">
        <x:v>RPL_ROOM_SLD</x:v>
      </x:c>
      <x:c r="C9" s="36" t="str">
        <x:v>sash_configuration</x:v>
      </x:c>
      <x:c r="D9" s="36" t="str">
        <x:v>把手障子</x:v>
      </x:c>
      <x:c r="E9" s="36" t="str">
        <x:v>EXCLUSIVE</x:v>
      </x:c>
      <x:c r="F9" s="36" t="str">
        <x:v>テラスのみ</x:v>
      </x:c>
      <x:c r="G9" s="36" t="str">
        <x:v>COMPLETE</x:v>
      </x:c>
      <x:c r="H9" s="37" t="str">
        <x:v>EV-006,007</x:v>
      </x:c>
    </x:row>
    <x:row r="10">
      <x:c r="A10" s="35" t="str">
        <x:v>SS-SLD-WASHI</x:v>
      </x:c>
      <x:c r="B10" s="36" t="str">
        <x:v>RPL_ROOM_SLD</x:v>
      </x:c>
      <x:c r="C10" s="36" t="str">
        <x:v>sash_configuration</x:v>
      </x:c>
      <x:c r="D10" s="36" t="str">
        <x:v>大壁和室用障子</x:v>
      </x:c>
      <x:c r="E10" s="36" t="str">
        <x:v>EXCLUSIVE</x:v>
      </x:c>
      <x:c r="F10" s="36" t="str">
        <x:v>2枚建のみ。サイズルール参照</x:v>
      </x:c>
      <x:c r="G10" s="36" t="str">
        <x:v>COMPLETE</x:v>
      </x:c>
      <x:c r="H10" s="37" t="str">
        <x:v>EV-006,007</x:v>
      </x:c>
    </x:row>
    <x:row r="11">
      <x:c r="A11" s="35" t="str">
        <x:v>SS-VSOP-NORMAL</x:v>
      </x:c>
      <x:c r="B11" s="36" t="str">
        <x:v>RPL_ROOM_VS_OP</x:v>
      </x:c>
      <x:c r="C11" s="36" t="str">
        <x:v>opening_form</x:v>
      </x:c>
      <x:c r="D11" s="36" t="str">
        <x:v>単窓</x:v>
      </x:c>
      <x:c r="E11" s="36" t="str">
        <x:v>EXCLUSIVE</x:v>
      </x:c>
      <x:c r="F11" s="36" t="str">
        <x:v>通常単窓</x:v>
      </x:c>
      <x:c r="G11" s="36" t="str">
        <x:v>COMPLETE</x:v>
      </x:c>
      <x:c r="H11" s="37" t="str">
        <x:v>EV-008</x:v>
      </x:c>
    </x:row>
    <x:row r="12">
      <x:c r="A12" s="35" t="str">
        <x:v>SS-VSOP-TF</x:v>
      </x:c>
      <x:c r="B12" s="36" t="str">
        <x:v>RPL_ROOM_VS_OP</x:v>
      </x:c>
      <x:c r="C12" s="36" t="str">
        <x:v>opening_form</x:v>
      </x:c>
      <x:c r="D12" s="36" t="str">
        <x:v>TF</x:v>
      </x:c>
      <x:c r="E12" s="36" t="str">
        <x:v>EXCLUSIVE</x:v>
      </x:c>
      <x:c r="F12" s="36" t="str">
        <x:v>FIX窓・連窓方立との複合確認が必要</x:v>
      </x:c>
      <x:c r="G12" s="36" t="str">
        <x:v>PARTIAL</x:v>
      </x:c>
      <x:c r="H12" s="37" t="str">
        <x:v>EV-008,009</x:v>
      </x:c>
    </x:row>
    <x:row r="13">
      <x:c r="A13" s="38" t="str">
        <x:v>SS-VSOP-TFT</x:v>
      </x:c>
      <x:c r="B13" s="39" t="str">
        <x:v>RPL_ROOM_VS_OP</x:v>
      </x:c>
      <x:c r="C13" s="39" t="str">
        <x:v>opening_form</x:v>
      </x:c>
      <x:c r="D13" s="39" t="str">
        <x:v>TFT</x:v>
      </x:c>
      <x:c r="E13" s="39" t="str">
        <x:v>EXCLUSIVE</x:v>
      </x:c>
      <x:c r="F13" s="39" t="str">
        <x:v>FIX窓・連窓方立との複合確認が必要</x:v>
      </x:c>
      <x:c r="G13" s="39" t="str">
        <x:v>PARTIAL</x:v>
      </x:c>
      <x:c r="H13" s="40" t="str">
        <x:v>EV-008,009</x:v>
      </x:c>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16" hidden="0" customWidth="1"/>
    <x:col min="5" max="5" width="14" hidden="0" customWidth="1"/>
    <x:col min="6" max="6" width="28"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54" hidden="0" customWidth="1"/>
    <x:col min="17" max="17" width="14" hidden="0" customWidth="1"/>
    <x:col min="18" max="18" width="14" hidden="0" customWidth="1"/>
  </x:cols>
  <x:sheetData>
    <x:row r="1" ht="28" customHeight="1">
      <x:c r="A1" s="4" t="str">
        <x:v>05_サイズルール｜単窓 基本製作範囲</x:v>
      </x:c>
      <x:c r="B1" s="4"/>
      <x:c r="C1" s="4"/>
      <x:c r="D1" s="4"/>
      <x:c r="E1" s="4"/>
      <x:c r="F1" s="4"/>
      <x:c r="G1" s="4"/>
      <x:c r="H1" s="4"/>
      <x:c r="I1" s="4"/>
      <x:c r="J1" s="4"/>
      <x:c r="K1" s="4"/>
      <x:c r="L1" s="4"/>
      <x:c r="M1" s="4"/>
      <x:c r="N1" s="4"/>
      <x:c r="O1" s="4"/>
      <x:c r="P1" s="4"/>
      <x:c r="Q1" s="4"/>
      <x:c r="R1" s="4"/>
    </x:row>
    <x:row r="2" ht="34" customHeight="1">
      <x:c r="A2" s="11" t="str">
        <x:v>出来寸を正式判定基準として保持。採寸寸法は公式の WD=WS-10 / HD=HS-10 から +10 で併記。曲線/ガラス面積依存境界は推測せず追加確認フラグを保持。</x:v>
      </x:c>
      <x:c r="B2" s="11"/>
      <x:c r="C2" s="11"/>
      <x:c r="D2" s="11"/>
      <x:c r="E2" s="11"/>
      <x:c r="F2" s="11"/>
      <x:c r="G2" s="11"/>
      <x:c r="H2" s="11"/>
      <x:c r="I2" s="11"/>
      <x:c r="J2" s="11"/>
      <x:c r="K2" s="11"/>
      <x:c r="L2" s="11"/>
      <x:c r="M2" s="11"/>
      <x:c r="N2" s="11"/>
      <x:c r="O2" s="11"/>
      <x:c r="P2" s="11"/>
      <x:c r="Q2" s="11"/>
      <x:c r="R2" s="11"/>
    </x:row>
    <x:row r="4" ht="30" customHeight="1">
      <x:c r="A4" s="32" t="str">
        <x:v>size_rule_id</x:v>
      </x:c>
      <x:c r="B4" s="33" t="str">
        <x:v>window_type_id</x:v>
      </x:c>
      <x:c r="C4" s="33" t="str">
        <x:v>frame_type_id</x:v>
      </x:c>
      <x:c r="D4" s="33" t="str">
        <x:v>panel_configuration</x:v>
      </x:c>
      <x:c r="E4" s="33" t="str">
        <x:v>height_category</x:v>
      </x:c>
      <x:c r="F4" s="33" t="str">
        <x:v>sash_configuration</x:v>
      </x:c>
      <x:c r="G4" s="33" t="str">
        <x:v>finished_w_min</x:v>
      </x:c>
      <x:c r="H4" s="33" t="str">
        <x:v>finished_w_max</x:v>
      </x:c>
      <x:c r="I4" s="33" t="str">
        <x:v>finished_h_min</x:v>
      </x:c>
      <x:c r="J4" s="33" t="str">
        <x:v>finished_h_max</x:v>
      </x:c>
      <x:c r="K4" s="33" t="str">
        <x:v>survey_w_min</x:v>
      </x:c>
      <x:c r="L4" s="33" t="str">
        <x:v>survey_w_max</x:v>
      </x:c>
      <x:c r="M4" s="33" t="str">
        <x:v>survey_h_min</x:v>
      </x:c>
      <x:c r="N4" s="33" t="str">
        <x:v>survey_h_max</x:v>
      </x:c>
      <x:c r="O4" s="33" t="str">
        <x:v>boundary_rule_id</x:v>
      </x:c>
      <x:c r="P4" s="33" t="str">
        <x:v>判定方針</x:v>
      </x:c>
      <x:c r="Q4" s="33" t="str">
        <x:v>status</x:v>
      </x:c>
      <x:c r="R4" s="34" t="str">
        <x:v>evidence</x:v>
      </x:c>
    </x:row>
    <x:row r="5">
      <x:c r="A5" s="35" t="str">
        <x:v>SZ-STD-SLD-MAD2</x:v>
      </x:c>
      <x:c r="B5" s="36" t="str">
        <x:v>RPL_ROOM_SLD</x:v>
      </x:c>
      <x:c r="C5" s="36" t="str">
        <x:v>RPL_STD</x:v>
      </x:c>
      <x:c r="D5" s="36" t="str">
        <x:v>2枚建</x:v>
      </x:c>
      <x:c r="E5" s="36" t="str">
        <x:v>マド</x:v>
      </x:c>
      <x:c r="F5" s="36" t="str">
        <x:v>PG障子/大壁和室用障子</x:v>
      </x:c>
      <x:c r="G5" s="62" t="n">
        <x:v>647</x:v>
      </x:c>
      <x:c r="H5" s="62" t="n">
        <x:v>3017</x:v>
      </x:c>
      <x:c r="I5" s="62" t="n">
        <x:v>337</x:v>
      </x:c>
      <x:c r="J5" s="62" t="n">
        <x:v>1637</x:v>
      </x:c>
      <x:c r="K5" s="62" t="n">
        <x:v>657</x:v>
      </x:c>
      <x:c r="L5" s="62" t="n">
        <x:v>3027</x:v>
      </x:c>
      <x:c r="M5" s="62" t="n">
        <x:v>347</x:v>
      </x:c>
      <x:c r="N5" s="62" t="n">
        <x:v>1647</x:v>
      </x:c>
      <x:c r="O5" s="36" t="str">
        <x:v>BR-STD-MAD2</x:v>
      </x:c>
      <x:c r="P5" s="36" t="str">
        <x:v>基本包絡のみ自動。斜線/上側曲線は追加境界確認</x:v>
      </x:c>
      <x:c r="Q5" s="36" t="str">
        <x:v>COMPLETE</x:v>
      </x:c>
      <x:c r="R5" s="37" t="str">
        <x:v>EV-006</x:v>
      </x:c>
    </x:row>
    <x:row r="6">
      <x:c r="A6" s="35" t="str">
        <x:v>SZ-STD-SLD-MAD4</x:v>
      </x:c>
      <x:c r="B6" s="36" t="str">
        <x:v>RPL_ROOM_SLD</x:v>
      </x:c>
      <x:c r="C6" s="36" t="str">
        <x:v>RPL_STD</x:v>
      </x:c>
      <x:c r="D6" s="36" t="str">
        <x:v>4枚建</x:v>
      </x:c>
      <x:c r="E6" s="36" t="str">
        <x:v>マド</x:v>
      </x:c>
      <x:c r="F6" s="36" t="str">
        <x:v>PG障子</x:v>
      </x:c>
      <x:c r="G6" s="62" t="n">
        <x:v>1227</x:v>
      </x:c>
      <x:c r="H6" s="62" t="n">
        <x:v>4017</x:v>
      </x:c>
      <x:c r="I6" s="62" t="n">
        <x:v>337</x:v>
      </x:c>
      <x:c r="J6" s="62" t="n">
        <x:v>1637</x:v>
      </x:c>
      <x:c r="K6" s="62" t="n">
        <x:v>1237</x:v>
      </x:c>
      <x:c r="L6" s="62" t="n">
        <x:v>4027</x:v>
      </x:c>
      <x:c r="M6" s="62" t="n">
        <x:v>347</x:v>
      </x:c>
      <x:c r="N6" s="62" t="n">
        <x:v>1647</x:v>
      </x:c>
      <x:c r="O6" s="36" t="str">
        <x:v>BR-STD-MAD4</x:v>
      </x:c>
      <x:c r="P6" s="36" t="str">
        <x:v>基本包絡のみ自動。斜線/上側曲線は追加境界確認</x:v>
      </x:c>
      <x:c r="Q6" s="36" t="str">
        <x:v>COMPLETE</x:v>
      </x:c>
      <x:c r="R6" s="37" t="str">
        <x:v>EV-006</x:v>
      </x:c>
    </x:row>
    <x:row r="7">
      <x:c r="A7" s="35" t="str">
        <x:v>SZ-STD-SLD-TER2</x:v>
      </x:c>
      <x:c r="B7" s="36" t="str">
        <x:v>RPL_ROOM_SLD</x:v>
      </x:c>
      <x:c r="C7" s="36" t="str">
        <x:v>RPL_STD</x:v>
      </x:c>
      <x:c r="D7" s="36" t="str">
        <x:v>2枚建</x:v>
      </x:c>
      <x:c r="E7" s="36" t="str">
        <x:v>テラス</x:v>
      </x:c>
      <x:c r="F7" s="36" t="str">
        <x:v>PG障子/把手障子</x:v>
      </x:c>
      <x:c r="G7" s="62" t="n">
        <x:v>977</x:v>
      </x:c>
      <x:c r="H7" s="62" t="n">
        <x:v>3017</x:v>
      </x:c>
      <x:c r="I7" s="62" t="n">
        <x:v>1208</x:v>
      </x:c>
      <x:c r="J7" s="62" t="n">
        <x:v>2527</x:v>
      </x:c>
      <x:c r="K7" s="62" t="n">
        <x:v>987</x:v>
      </x:c>
      <x:c r="L7" s="62" t="n">
        <x:v>3027</x:v>
      </x:c>
      <x:c r="M7" s="62" t="n">
        <x:v>1218</x:v>
      </x:c>
      <x:c r="N7" s="62" t="n">
        <x:v>2537</x:v>
      </x:c>
      <x:c r="O7" s="36" t="str">
        <x:v>BR-STD-TER2</x:v>
      </x:c>
      <x:c r="P7" s="36" t="str">
        <x:v>基本包絡のみ自動。斜線/上側曲線、ガラス面積は追加確認</x:v>
      </x:c>
      <x:c r="Q7" s="36" t="str">
        <x:v>COMPLETE</x:v>
      </x:c>
      <x:c r="R7" s="37" t="str">
        <x:v>EV-006</x:v>
      </x:c>
    </x:row>
    <x:row r="8">
      <x:c r="A8" s="35" t="str">
        <x:v>SZ-STD-SLD-TER4</x:v>
      </x:c>
      <x:c r="B8" s="36" t="str">
        <x:v>RPL_ROOM_SLD</x:v>
      </x:c>
      <x:c r="C8" s="36" t="str">
        <x:v>RPL_STD</x:v>
      </x:c>
      <x:c r="D8" s="36" t="str">
        <x:v>4枚建</x:v>
      </x:c>
      <x:c r="E8" s="36" t="str">
        <x:v>テラス</x:v>
      </x:c>
      <x:c r="F8" s="36" t="str">
        <x:v>PG障子/把手障子</x:v>
      </x:c>
      <x:c r="G8" s="62" t="n">
        <x:v>1897</x:v>
      </x:c>
      <x:c r="H8" s="62" t="n">
        <x:v>4017</x:v>
      </x:c>
      <x:c r="I8" s="62" t="n">
        <x:v>1208</x:v>
      </x:c>
      <x:c r="J8" s="62" t="n">
        <x:v>2527</x:v>
      </x:c>
      <x:c r="K8" s="62" t="n">
        <x:v>1907</x:v>
      </x:c>
      <x:c r="L8" s="62" t="n">
        <x:v>4027</x:v>
      </x:c>
      <x:c r="M8" s="62" t="n">
        <x:v>1218</x:v>
      </x:c>
      <x:c r="N8" s="62" t="n">
        <x:v>2537</x:v>
      </x:c>
      <x:c r="O8" s="36" t="str">
        <x:v>BR-STD-TER4</x:v>
      </x:c>
      <x:c r="P8" s="36" t="str">
        <x:v>基本包絡のみ自動。斜線/上側曲線、ガラス面積は追加確認</x:v>
      </x:c>
      <x:c r="Q8" s="36" t="str">
        <x:v>COMPLETE</x:v>
      </x:c>
      <x:c r="R8" s="37" t="str">
        <x:v>EV-006</x:v>
      </x:c>
    </x:row>
    <x:row r="9">
      <x:c r="A9" s="35" t="str">
        <x:v>SZ-STD-SLD-TER2W</x:v>
      </x:c>
      <x:c r="B9" s="36" t="str">
        <x:v>RPL_ROOM_SLD</x:v>
      </x:c>
      <x:c r="C9" s="36" t="str">
        <x:v>RPL_STD</x:v>
      </x:c>
      <x:c r="D9" s="36" t="str">
        <x:v>2枚建</x:v>
      </x:c>
      <x:c r="E9" s="36" t="str">
        <x:v>テラス</x:v>
      </x:c>
      <x:c r="F9" s="36" t="str">
        <x:v>大壁和室用障子</x:v>
      </x:c>
      <x:c r="G9" s="62" t="n">
        <x:v>977</x:v>
      </x:c>
      <x:c r="H9" s="62" t="n">
        <x:v>3017</x:v>
      </x:c>
      <x:c r="I9" s="62" t="n">
        <x:v>1537</x:v>
      </x:c>
      <x:c r="J9" s="62" t="n">
        <x:v>2527</x:v>
      </x:c>
      <x:c r="K9" s="62" t="n">
        <x:v>987</x:v>
      </x:c>
      <x:c r="L9" s="62" t="n">
        <x:v>3027</x:v>
      </x:c>
      <x:c r="M9" s="62" t="n">
        <x:v>1547</x:v>
      </x:c>
      <x:c r="N9" s="62" t="n">
        <x:v>2537</x:v>
      </x:c>
      <x:c r="O9" s="36" t="str">
        <x:v>BR-STD-TER2W</x:v>
      </x:c>
      <x:c r="P9" s="36" t="str">
        <x:v>上側曲線あり。追加境界確認</x:v>
      </x:c>
      <x:c r="Q9" s="36" t="str">
        <x:v>COMPLETE</x:v>
      </x:c>
      <x:c r="R9" s="37" t="str">
        <x:v>EV-006</x:v>
      </x:c>
    </x:row>
    <x:row r="10">
      <x:c r="A10" s="35" t="str">
        <x:v>SZ-BRG-SLD-MAD2</x:v>
      </x:c>
      <x:c r="B10" s="36" t="str">
        <x:v>RPL_ROOM_SLD</x:v>
      </x:c>
      <x:c r="C10" s="36" t="str">
        <x:v>RPL_BRIDGE</x:v>
      </x:c>
      <x:c r="D10" s="36" t="str">
        <x:v>2枚建</x:v>
      </x:c>
      <x:c r="E10" s="36" t="str">
        <x:v>マド</x:v>
      </x:c>
      <x:c r="F10" s="36" t="str">
        <x:v>PG障子/大壁和室用障子</x:v>
      </x:c>
      <x:c r="G10" s="62" t="n">
        <x:v>647</x:v>
      </x:c>
      <x:c r="H10" s="62" t="n">
        <x:v>3017</x:v>
      </x:c>
      <x:c r="I10" s="62" t="n">
        <x:v>342</x:v>
      </x:c>
      <x:c r="J10" s="62" t="n">
        <x:v>1637</x:v>
      </x:c>
      <x:c r="K10" s="62" t="n">
        <x:v>657</x:v>
      </x:c>
      <x:c r="L10" s="62" t="n">
        <x:v>3027</x:v>
      </x:c>
      <x:c r="M10" s="62" t="n">
        <x:v>352</x:v>
      </x:c>
      <x:c r="N10" s="62" t="n">
        <x:v>1647</x:v>
      </x:c>
      <x:c r="O10" s="36" t="str">
        <x:v>BR-BRG-MAD2</x:v>
      </x:c>
      <x:c r="P10" s="36" t="str">
        <x:v>基本包絡のみ自動。斜線/上側曲線は追加境界確認</x:v>
      </x:c>
      <x:c r="Q10" s="36" t="str">
        <x:v>COMPLETE</x:v>
      </x:c>
      <x:c r="R10" s="37" t="str">
        <x:v>EV-007</x:v>
      </x:c>
    </x:row>
    <x:row r="11">
      <x:c r="A11" s="35" t="str">
        <x:v>SZ-BRG-SLD-MAD4</x:v>
      </x:c>
      <x:c r="B11" s="36" t="str">
        <x:v>RPL_ROOM_SLD</x:v>
      </x:c>
      <x:c r="C11" s="36" t="str">
        <x:v>RPL_BRIDGE</x:v>
      </x:c>
      <x:c r="D11" s="36" t="str">
        <x:v>4枚建</x:v>
      </x:c>
      <x:c r="E11" s="36" t="str">
        <x:v>マド</x:v>
      </x:c>
      <x:c r="F11" s="36" t="str">
        <x:v>PG障子</x:v>
      </x:c>
      <x:c r="G11" s="62" t="n">
        <x:v>1227</x:v>
      </x:c>
      <x:c r="H11" s="62" t="n">
        <x:v>4017</x:v>
      </x:c>
      <x:c r="I11" s="62" t="n">
        <x:v>342</x:v>
      </x:c>
      <x:c r="J11" s="62" t="n">
        <x:v>1637</x:v>
      </x:c>
      <x:c r="K11" s="62" t="n">
        <x:v>1237</x:v>
      </x:c>
      <x:c r="L11" s="62" t="n">
        <x:v>4027</x:v>
      </x:c>
      <x:c r="M11" s="62" t="n">
        <x:v>352</x:v>
      </x:c>
      <x:c r="N11" s="62" t="n">
        <x:v>1647</x:v>
      </x:c>
      <x:c r="O11" s="36" t="str">
        <x:v>BR-BRG-MAD4</x:v>
      </x:c>
      <x:c r="P11" s="36" t="str">
        <x:v>基本包絡のみ自動。斜線/上側曲線は追加境界確認</x:v>
      </x:c>
      <x:c r="Q11" s="36" t="str">
        <x:v>COMPLETE</x:v>
      </x:c>
      <x:c r="R11" s="37" t="str">
        <x:v>EV-007</x:v>
      </x:c>
    </x:row>
    <x:row r="12">
      <x:c r="A12" s="35" t="str">
        <x:v>SZ-BRG-SLD-TER2</x:v>
      </x:c>
      <x:c r="B12" s="36" t="str">
        <x:v>RPL_ROOM_SLD</x:v>
      </x:c>
      <x:c r="C12" s="36" t="str">
        <x:v>RPL_BRIDGE</x:v>
      </x:c>
      <x:c r="D12" s="36" t="str">
        <x:v>2枚建</x:v>
      </x:c>
      <x:c r="E12" s="36" t="str">
        <x:v>テラス</x:v>
      </x:c>
      <x:c r="F12" s="36" t="str">
        <x:v>PG障子/把手障子</x:v>
      </x:c>
      <x:c r="G12" s="62" t="n">
        <x:v>977</x:v>
      </x:c>
      <x:c r="H12" s="62" t="n">
        <x:v>3017</x:v>
      </x:c>
      <x:c r="I12" s="62" t="n">
        <x:v>1213</x:v>
      </x:c>
      <x:c r="J12" s="62" t="n">
        <x:v>2527</x:v>
      </x:c>
      <x:c r="K12" s="62" t="n">
        <x:v>987</x:v>
      </x:c>
      <x:c r="L12" s="62" t="n">
        <x:v>3027</x:v>
      </x:c>
      <x:c r="M12" s="62" t="n">
        <x:v>1223</x:v>
      </x:c>
      <x:c r="N12" s="62" t="n">
        <x:v>2537</x:v>
      </x:c>
      <x:c r="O12" s="36" t="str">
        <x:v>BR-BRG-TER2</x:v>
      </x:c>
      <x:c r="P12" s="36" t="str">
        <x:v>基本包絡のみ自動。斜線/上側曲線は追加境界確認</x:v>
      </x:c>
      <x:c r="Q12" s="36" t="str">
        <x:v>COMPLETE</x:v>
      </x:c>
      <x:c r="R12" s="37" t="str">
        <x:v>EV-007</x:v>
      </x:c>
    </x:row>
    <x:row r="13">
      <x:c r="A13" s="35" t="str">
        <x:v>SZ-BRG-SLD-TER4</x:v>
      </x:c>
      <x:c r="B13" s="36" t="str">
        <x:v>RPL_ROOM_SLD</x:v>
      </x:c>
      <x:c r="C13" s="36" t="str">
        <x:v>RPL_BRIDGE</x:v>
      </x:c>
      <x:c r="D13" s="36" t="str">
        <x:v>4枚建</x:v>
      </x:c>
      <x:c r="E13" s="36" t="str">
        <x:v>テラス</x:v>
      </x:c>
      <x:c r="F13" s="36" t="str">
        <x:v>PG障子/把手障子</x:v>
      </x:c>
      <x:c r="G13" s="62" t="n">
        <x:v>1897</x:v>
      </x:c>
      <x:c r="H13" s="62" t="n">
        <x:v>4017</x:v>
      </x:c>
      <x:c r="I13" s="62" t="n">
        <x:v>1213</x:v>
      </x:c>
      <x:c r="J13" s="62" t="n">
        <x:v>2527</x:v>
      </x:c>
      <x:c r="K13" s="62" t="n">
        <x:v>1907</x:v>
      </x:c>
      <x:c r="L13" s="62" t="n">
        <x:v>4027</x:v>
      </x:c>
      <x:c r="M13" s="62" t="n">
        <x:v>1223</x:v>
      </x:c>
      <x:c r="N13" s="62" t="n">
        <x:v>2537</x:v>
      </x:c>
      <x:c r="O13" s="36" t="str">
        <x:v>BR-BRG-TER4</x:v>
      </x:c>
      <x:c r="P13" s="36" t="str">
        <x:v>基本包絡のみ自動。斜線/上側曲線は追加境界確認</x:v>
      </x:c>
      <x:c r="Q13" s="36" t="str">
        <x:v>COMPLETE</x:v>
      </x:c>
      <x:c r="R13" s="37" t="str">
        <x:v>EV-007</x:v>
      </x:c>
    </x:row>
    <x:row r="14">
      <x:c r="A14" s="35" t="str">
        <x:v>SZ-BRG-SLD-TER2W</x:v>
      </x:c>
      <x:c r="B14" s="36" t="str">
        <x:v>RPL_ROOM_SLD</x:v>
      </x:c>
      <x:c r="C14" s="36" t="str">
        <x:v>RPL_BRIDGE</x:v>
      </x:c>
      <x:c r="D14" s="36" t="str">
        <x:v>2枚建</x:v>
      </x:c>
      <x:c r="E14" s="36" t="str">
        <x:v>テラス</x:v>
      </x:c>
      <x:c r="F14" s="36" t="str">
        <x:v>大壁和室用障子</x:v>
      </x:c>
      <x:c r="G14" s="62" t="n">
        <x:v>977</x:v>
      </x:c>
      <x:c r="H14" s="62" t="n">
        <x:v>3017</x:v>
      </x:c>
      <x:c r="I14" s="62" t="n">
        <x:v>1542</x:v>
      </x:c>
      <x:c r="J14" s="62" t="n">
        <x:v>2527</x:v>
      </x:c>
      <x:c r="K14" s="62" t="n">
        <x:v>987</x:v>
      </x:c>
      <x:c r="L14" s="62" t="n">
        <x:v>3027</x:v>
      </x:c>
      <x:c r="M14" s="62" t="n">
        <x:v>1552</x:v>
      </x:c>
      <x:c r="N14" s="62" t="n">
        <x:v>2537</x:v>
      </x:c>
      <x:c r="O14" s="36" t="str">
        <x:v>BR-BRG-TER2W</x:v>
      </x:c>
      <x:c r="P14" s="36" t="str">
        <x:v>上側曲線あり。追加境界確認</x:v>
      </x:c>
      <x:c r="Q14" s="36" t="str">
        <x:v>COMPLETE</x:v>
      </x:c>
      <x:c r="R14" s="37" t="str">
        <x:v>EV-007</x:v>
      </x:c>
    </x:row>
    <x:row r="15">
      <x:c r="A15" s="35" t="str">
        <x:v>SZ-VSOP</x:v>
      </x:c>
      <x:c r="B15" s="36" t="str">
        <x:v>RPL_ROOM_VS_OP</x:v>
      </x:c>
      <x:c r="C15" s="36" t="str">
        <x:v>RPL_STD</x:v>
      </x:c>
      <x:c r="D15" s="36" t="str">
        <x:v>—</x:v>
      </x:c>
      <x:c r="E15" s="36" t="str">
        <x:v>—</x:v>
      </x:c>
      <x:c r="F15" s="36" t="str">
        <x:v>単窓</x:v>
      </x:c>
      <x:c r="G15" s="62" t="n">
        <x:v>267</x:v>
      </x:c>
      <x:c r="H15" s="62" t="n">
        <x:v>797</x:v>
      </x:c>
      <x:c r="I15" s="62" t="n">
        <x:v>376</x:v>
      </x:c>
      <x:c r="J15" s="62" t="n">
        <x:v>2286</x:v>
      </x:c>
      <x:c r="K15" s="62" t="n">
        <x:v>277</x:v>
      </x:c>
      <x:c r="L15" s="62" t="n">
        <x:v>807</x:v>
      </x:c>
      <x:c r="M15" s="62" t="n">
        <x:v>386</x:v>
      </x:c>
      <x:c r="N15" s="62" t="n">
        <x:v>2296</x:v>
      </x:c>
      <x:c r="O15" s="36" t="str">
        <x:v>STEP-VSOP</x:v>
      </x:c>
      <x:c r="P15" s="36" t="str">
        <x:v>05Aの3区間で基本製作範囲を機械判定可</x:v>
      </x:c>
      <x:c r="Q15" s="36" t="str">
        <x:v>COMPLETE</x:v>
      </x:c>
      <x:c r="R15" s="37" t="str">
        <x:v>EV-008</x:v>
      </x:c>
    </x:row>
    <x:row r="16">
      <x:c r="A16" s="35" t="str">
        <x:v>SZ-VSCAM</x:v>
      </x:c>
      <x:c r="B16" s="36" t="str">
        <x:v>RPL_ROOM_VS_CAM</x:v>
      </x:c>
      <x:c r="C16" s="36" t="str">
        <x:v>RPL_STD</x:v>
      </x:c>
      <x:c r="D16" s="36" t="str">
        <x:v>—</x:v>
      </x:c>
      <x:c r="E16" s="36" t="str">
        <x:v>—</x:v>
      </x:c>
      <x:c r="F16" s="36" t="str">
        <x:v>単窓</x:v>
      </x:c>
      <x:c r="G16" s="62" t="n">
        <x:v>267</x:v>
      </x:c>
      <x:c r="H16" s="62" t="n">
        <x:v>667</x:v>
      </x:c>
      <x:c r="I16" s="62" t="n">
        <x:v>346</x:v>
      </x:c>
      <x:c r="J16" s="62" t="n">
        <x:v>2390</x:v>
      </x:c>
      <x:c r="K16" s="62" t="n">
        <x:v>277</x:v>
      </x:c>
      <x:c r="L16" s="62" t="n">
        <x:v>677</x:v>
      </x:c>
      <x:c r="M16" s="62" t="n">
        <x:v>356</x:v>
      </x:c>
      <x:c r="N16" s="62" t="n">
        <x:v>2400</x:v>
      </x:c>
      <x:c r="O16" s="36" t="str">
        <x:v>STEP-VSCAM</x:v>
      </x:c>
      <x:c r="P16" s="36" t="str">
        <x:v>05Aの3区間で基本製作範囲を機械判定可</x:v>
      </x:c>
      <x:c r="Q16" s="36" t="str">
        <x:v>COMPLETE</x:v>
      </x:c>
      <x:c r="R16" s="37" t="str">
        <x:v>EV-008</x:v>
      </x:c>
    </x:row>
    <x:row r="17">
      <x:c r="A17" s="35" t="str">
        <x:v>SZ-HSOP</x:v>
      </x:c>
      <x:c r="B17" s="36" t="str">
        <x:v>RPL_ROOM_HS_OP</x:v>
      </x:c>
      <x:c r="C17" s="36" t="str">
        <x:v>RPL_STD</x:v>
      </x:c>
      <x:c r="D17" s="36" t="str">
        <x:v>—</x:v>
      </x:c>
      <x:c r="E17" s="36" t="str">
        <x:v>—</x:v>
      </x:c>
      <x:c r="F17" s="36" t="str">
        <x:v>単窓</x:v>
      </x:c>
      <x:c r="G17" s="62" t="n">
        <x:v>317</x:v>
      </x:c>
      <x:c r="H17" s="62" t="n">
        <x:v>1252</x:v>
      </x:c>
      <x:c r="I17" s="62" t="n">
        <x:v>316</x:v>
      </x:c>
      <x:c r="J17" s="62" t="n">
        <x:v>1251</x:v>
      </x:c>
      <x:c r="K17" s="62" t="n">
        <x:v>327</x:v>
      </x:c>
      <x:c r="L17" s="62" t="n">
        <x:v>1262</x:v>
      </x:c>
      <x:c r="M17" s="62" t="n">
        <x:v>326</x:v>
      </x:c>
      <x:c r="N17" s="62" t="n">
        <x:v>1261</x:v>
      </x:c>
      <x:c r="O17" s="36" t="str">
        <x:v>STEP-HSOP</x:v>
      </x:c>
      <x:c r="P17" s="36" t="str">
        <x:v>05Aの2区間で基本製作範囲を機械判定可</x:v>
      </x:c>
      <x:c r="Q17" s="36" t="str">
        <x:v>COMPLETE</x:v>
      </x:c>
      <x:c r="R17" s="37" t="str">
        <x:v>EV-008</x:v>
      </x:c>
    </x:row>
    <x:row r="18">
      <x:c r="A18" s="35" t="str">
        <x:v>SZ-HSCAM</x:v>
      </x:c>
      <x:c r="B18" s="36" t="str">
        <x:v>RPL_ROOM_HS_CAM</x:v>
      </x:c>
      <x:c r="C18" s="36" t="str">
        <x:v>RPL_STD</x:v>
      </x:c>
      <x:c r="D18" s="36" t="str">
        <x:v>—</x:v>
      </x:c>
      <x:c r="E18" s="36" t="str">
        <x:v>—</x:v>
      </x:c>
      <x:c r="F18" s="36" t="str">
        <x:v>単窓</x:v>
      </x:c>
      <x:c r="G18" s="62" t="n">
        <x:v>317</x:v>
      </x:c>
      <x:c r="H18" s="62" t="n">
        <x:v>887</x:v>
      </x:c>
      <x:c r="I18" s="62" t="n">
        <x:v>316</x:v>
      </x:c>
      <x:c r="J18" s="62" t="n">
        <x:v>1016</x:v>
      </x:c>
      <x:c r="K18" s="62" t="n">
        <x:v>327</x:v>
      </x:c>
      <x:c r="L18" s="62" t="n">
        <x:v>897</x:v>
      </x:c>
      <x:c r="M18" s="62" t="n">
        <x:v>326</x:v>
      </x:c>
      <x:c r="N18" s="62" t="n">
        <x:v>1026</x:v>
      </x:c>
      <x:c r="O18" s="36" t="str">
        <x:v>STEP-HSCAM</x:v>
      </x:c>
      <x:c r="P18" s="36" t="str">
        <x:v>05Aの2区間で基本製作範囲を機械判定可</x:v>
      </x:c>
      <x:c r="Q18" s="36" t="str">
        <x:v>COMPLETE</x:v>
      </x:c>
      <x:c r="R18" s="37" t="str">
        <x:v>EV-008</x:v>
      </x:c>
    </x:row>
    <x:row r="19">
      <x:c r="A19" s="35" t="str">
        <x:v>SZ-DHFS</x:v>
      </x:c>
      <x:c r="B19" s="36" t="str">
        <x:v>RPL_ROOM_DHFS</x:v>
      </x:c>
      <x:c r="C19" s="36" t="str">
        <x:v>RPL_STD</x:v>
      </x:c>
      <x:c r="D19" s="36" t="str">
        <x:v>—</x:v>
      </x:c>
      <x:c r="E19" s="36" t="str">
        <x:v>—</x:v>
      </x:c>
      <x:c r="F19" s="36" t="str">
        <x:v>単窓</x:v>
      </x:c>
      <x:c r="G19" s="62" t="n">
        <x:v>317</x:v>
      </x:c>
      <x:c r="H19" s="62" t="n">
        <x:v>887</x:v>
      </x:c>
      <x:c r="I19" s="62" t="n">
        <x:v>606</x:v>
      </x:c>
      <x:c r="J19" s="62" t="n">
        <x:v>1706</x:v>
      </x:c>
      <x:c r="K19" s="62" t="n">
        <x:v>327</x:v>
      </x:c>
      <x:c r="L19" s="62" t="n">
        <x:v>897</x:v>
      </x:c>
      <x:c r="M19" s="62" t="n">
        <x:v>616</x:v>
      </x:c>
      <x:c r="N19" s="62" t="n">
        <x:v>1716</x:v>
      </x:c>
      <x:c r="O19" s="36" t="str">
        <x:v>STEP-DHFS</x:v>
      </x:c>
      <x:c r="P19" s="36" t="str">
        <x:v>05Aの2区間で基本製作範囲を機械判定可。ガラス重量別確認あり</x:v>
      </x:c>
      <x:c r="Q19" s="36" t="str">
        <x:v>COMPLETE</x:v>
      </x:c>
      <x:c r="R19" s="37" t="str">
        <x:v>EV-008</x:v>
      </x:c>
    </x:row>
    <x:row r="20">
      <x:c r="A20" s="35" t="str">
        <x:v>SZ-FIXOUT</x:v>
      </x:c>
      <x:c r="B20" s="36" t="str">
        <x:v>RPL_ROOM_FIX_OUT</x:v>
      </x:c>
      <x:c r="C20" s="36" t="str">
        <x:v>RPL_STD</x:v>
      </x:c>
      <x:c r="D20" s="36" t="str">
        <x:v>—</x:v>
      </x:c>
      <x:c r="E20" s="36" t="str">
        <x:v>—</x:v>
      </x:c>
      <x:c r="F20" s="36" t="str">
        <x:v>単窓</x:v>
      </x:c>
      <x:c r="G20" s="62" t="n">
        <x:v>217</x:v>
      </x:c>
      <x:c r="H20" s="62" t="n">
        <x:v>3017</x:v>
      </x:c>
      <x:c r="I20" s="62" t="n">
        <x:v>188</x:v>
      </x:c>
      <x:c r="J20" s="62" t="n">
        <x:v>2458</x:v>
      </x:c>
      <x:c r="K20" s="62" t="n">
        <x:v>227</x:v>
      </x:c>
      <x:c r="L20" s="62" t="n">
        <x:v>3027</x:v>
      </x:c>
      <x:c r="M20" s="62" t="n">
        <x:v>198</x:v>
      </x:c>
      <x:c r="N20" s="62" t="n">
        <x:v>2468</x:v>
      </x:c>
      <x:c r="O20" s="36" t="str">
        <x:v>BR-FIXOUT</x:v>
      </x:c>
      <x:c r="P20" s="36" t="str">
        <x:v>上側曲線があるため包絡＋公式曲線確認</x:v>
      </x:c>
      <x:c r="Q20" s="36" t="str">
        <x:v>PARTIAL</x:v>
      </x:c>
      <x:c r="R20" s="37" t="str">
        <x:v>EV-009</x:v>
      </x:c>
    </x:row>
    <x:row r="21">
      <x:c r="A21" s="38" t="str">
        <x:v>SZ-FIXIN</x:v>
      </x:c>
      <x:c r="B21" s="39" t="str">
        <x:v>RPL_ROOM_FIX_IN</x:v>
      </x:c>
      <x:c r="C21" s="39" t="str">
        <x:v>RPL_STD</x:v>
      </x:c>
      <x:c r="D21" s="39" t="str">
        <x:v>—</x:v>
      </x:c>
      <x:c r="E21" s="39" t="str">
        <x:v>—</x:v>
      </x:c>
      <x:c r="F21" s="39" t="str">
        <x:v>単窓</x:v>
      </x:c>
      <x:c r="G21" s="63" t="n">
        <x:v>194</x:v>
      </x:c>
      <x:c r="H21" s="63" t="n">
        <x:v>2994</x:v>
      </x:c>
      <x:c r="I21" s="63" t="n">
        <x:v>240</x:v>
      </x:c>
      <x:c r="J21" s="63" t="n">
        <x:v>2460</x:v>
      </x:c>
      <x:c r="K21" s="63" t="n">
        <x:v>204</x:v>
      </x:c>
      <x:c r="L21" s="63" t="n">
        <x:v>3004</x:v>
      </x:c>
      <x:c r="M21" s="63" t="n">
        <x:v>250</x:v>
      </x:c>
      <x:c r="N21" s="63" t="n">
        <x:v>2470</x:v>
      </x:c>
      <x:c r="O21" s="39" t="str">
        <x:v>BR-FIXIN</x:v>
      </x:c>
      <x:c r="P21" s="39" t="str">
        <x:v>上側曲線があるため包絡＋公式曲線確認</x:v>
      </x:c>
      <x:c r="Q21" s="39" t="str">
        <x:v>PARTIAL</x:v>
      </x:c>
      <x:c r="R21" s="40" t="str">
        <x:v>EV-009</x:v>
      </x:c>
    </x:row>
  </x:sheetData>
  <x:mergeCells>
    <x:mergeCell ref="A1:R1"/>
    <x:mergeCell ref="A2:R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14" hidden="0" customWidth="1"/>
    <x:col min="5" max="5" width="14" hidden="0" customWidth="1"/>
    <x:col min="6" max="6" width="14" hidden="0" customWidth="1"/>
    <x:col min="7" max="7" width="12" hidden="0" customWidth="1"/>
    <x:col min="8" max="8" width="48" hidden="0" customWidth="1"/>
    <x:col min="9" max="9" width="14" hidden="0" customWidth="1"/>
    <x:col min="10" max="10" width="14" hidden="0" customWidth="1"/>
  </x:cols>
  <x:sheetData>
    <x:row r="1" ht="28" customHeight="1">
      <x:c r="A1" s="4" t="str">
        <x:v>05A_サイズ区間｜段差形状の機械判定</x:v>
      </x:c>
      <x:c r="B1" s="4"/>
      <x:c r="C1" s="4"/>
      <x:c r="D1" s="4"/>
      <x:c r="E1" s="4"/>
      <x:c r="F1" s="4"/>
      <x:c r="G1" s="4"/>
      <x:c r="H1" s="4"/>
      <x:c r="I1" s="4"/>
      <x:c r="J1" s="4"/>
    </x:row>
    <x:row r="2" ht="34" customHeight="1">
      <x:c r="A2" s="11" t="str">
        <x:v>p.110の段差形状を矩形区間へ分解。灰色/網掛けは内嵌め・サブロック等の追加仕様を示すため、この表では基本製作可否だけを管理。</x:v>
      </x:c>
      <x:c r="B2" s="11"/>
      <x:c r="C2" s="11"/>
      <x:c r="D2" s="11"/>
      <x:c r="E2" s="11"/>
      <x:c r="F2" s="11"/>
      <x:c r="G2" s="11"/>
      <x:c r="H2" s="11"/>
      <x:c r="I2" s="11"/>
      <x:c r="J2" s="11"/>
    </x:row>
    <x:row r="4" ht="30" customHeight="1">
      <x:c r="A4" s="32" t="str">
        <x:v>segment_id</x:v>
      </x:c>
      <x:c r="B4" s="33" t="str">
        <x:v>size_rule_id</x:v>
      </x:c>
      <x:c r="C4" s="33" t="str">
        <x:v>finished_w_min</x:v>
      </x:c>
      <x:c r="D4" s="33" t="str">
        <x:v>finished_w_max</x:v>
      </x:c>
      <x:c r="E4" s="33" t="str">
        <x:v>finished_h_min</x:v>
      </x:c>
      <x:c r="F4" s="33" t="str">
        <x:v>finished_h_max</x:v>
      </x:c>
      <x:c r="G4" s="33" t="str">
        <x:v>effect</x:v>
      </x:c>
      <x:c r="H4" s="33" t="str">
        <x:v>説明</x:v>
      </x:c>
      <x:c r="I4" s="33" t="str">
        <x:v>status</x:v>
      </x:c>
      <x:c r="J4" s="34" t="str">
        <x:v>evidence</x:v>
      </x:c>
    </x:row>
    <x:row r="5">
      <x:c r="A5" s="35" t="str">
        <x:v>SEG-VSOP-1</x:v>
      </x:c>
      <x:c r="B5" s="36" t="str">
        <x:v>SZ-VSOP</x:v>
      </x:c>
      <x:c r="C5" s="36" t="n">
        <x:v>267</x:v>
      </x:c>
      <x:c r="D5" s="36" t="n">
        <x:v>367</x:v>
      </x:c>
      <x:c r="E5" s="36" t="n">
        <x:v>376</x:v>
      </x:c>
      <x:c r="F5" s="36" t="n">
        <x:v>2286</x:v>
      </x:c>
      <x:c r="G5" s="36" t="str">
        <x:v>ALLOW</x:v>
      </x:c>
      <x:c r="H5" s="36" t="str">
        <x:v>縦すべり出し（OP）第1区間</x:v>
      </x:c>
      <x:c r="I5" s="36" t="str">
        <x:v>COMPLETE</x:v>
      </x:c>
      <x:c r="J5" s="37" t="str">
        <x:v>EV-008</x:v>
      </x:c>
    </x:row>
    <x:row r="6">
      <x:c r="A6" s="35" t="str">
        <x:v>SEG-VSOP-2</x:v>
      </x:c>
      <x:c r="B6" s="36" t="str">
        <x:v>SZ-VSOP</x:v>
      </x:c>
      <x:c r="C6" s="36" t="n">
        <x:v>367</x:v>
      </x:c>
      <x:c r="D6" s="36" t="n">
        <x:v>422</x:v>
      </x:c>
      <x:c r="E6" s="36" t="n">
        <x:v>376</x:v>
      </x:c>
      <x:c r="F6" s="36" t="n">
        <x:v>1886</x:v>
      </x:c>
      <x:c r="G6" s="36" t="str">
        <x:v>ALLOW</x:v>
      </x:c>
      <x:c r="H6" s="36" t="str">
        <x:v>縦すべり出し（OP）第2区間</x:v>
      </x:c>
      <x:c r="I6" s="36" t="str">
        <x:v>COMPLETE</x:v>
      </x:c>
      <x:c r="J6" s="37" t="str">
        <x:v>EV-008</x:v>
      </x:c>
    </x:row>
    <x:row r="7">
      <x:c r="A7" s="35" t="str">
        <x:v>SEG-VSOP-3</x:v>
      </x:c>
      <x:c r="B7" s="36" t="str">
        <x:v>SZ-VSOP</x:v>
      </x:c>
      <x:c r="C7" s="36" t="n">
        <x:v>422</x:v>
      </x:c>
      <x:c r="D7" s="36" t="n">
        <x:v>797</x:v>
      </x:c>
      <x:c r="E7" s="36" t="n">
        <x:v>376</x:v>
      </x:c>
      <x:c r="F7" s="36" t="n">
        <x:v>1616</x:v>
      </x:c>
      <x:c r="G7" s="36" t="str">
        <x:v>ALLOW</x:v>
      </x:c>
      <x:c r="H7" s="36" t="str">
        <x:v>縦すべり出し（OP）第3区間</x:v>
      </x:c>
      <x:c r="I7" s="36" t="str">
        <x:v>COMPLETE</x:v>
      </x:c>
      <x:c r="J7" s="37" t="str">
        <x:v>EV-008</x:v>
      </x:c>
    </x:row>
    <x:row r="8">
      <x:c r="A8" s="35" t="str">
        <x:v>SEG-VSCAM-1</x:v>
      </x:c>
      <x:c r="B8" s="36" t="str">
        <x:v>SZ-VSCAM</x:v>
      </x:c>
      <x:c r="C8" s="36" t="n">
        <x:v>267</x:v>
      </x:c>
      <x:c r="D8" s="36" t="n">
        <x:v>367</x:v>
      </x:c>
      <x:c r="E8" s="36" t="n">
        <x:v>346</x:v>
      </x:c>
      <x:c r="F8" s="36" t="n">
        <x:v>2390</x:v>
      </x:c>
      <x:c r="G8" s="36" t="str">
        <x:v>ALLOW</x:v>
      </x:c>
      <x:c r="H8" s="36" t="str">
        <x:v>縦すべり出し（カムラッチ）第1区間</x:v>
      </x:c>
      <x:c r="I8" s="36" t="str">
        <x:v>COMPLETE</x:v>
      </x:c>
      <x:c r="J8" s="37" t="str">
        <x:v>EV-008</x:v>
      </x:c>
    </x:row>
    <x:row r="9">
      <x:c r="A9" s="35" t="str">
        <x:v>SEG-VSCAM-2</x:v>
      </x:c>
      <x:c r="B9" s="36" t="str">
        <x:v>SZ-VSCAM</x:v>
      </x:c>
      <x:c r="C9" s="36" t="n">
        <x:v>367</x:v>
      </x:c>
      <x:c r="D9" s="36" t="n">
        <x:v>422</x:v>
      </x:c>
      <x:c r="E9" s="36" t="n">
        <x:v>367</x:v>
      </x:c>
      <x:c r="F9" s="36" t="n">
        <x:v>1886</x:v>
      </x:c>
      <x:c r="G9" s="36" t="str">
        <x:v>ALLOW</x:v>
      </x:c>
      <x:c r="H9" s="36" t="str">
        <x:v>縦すべり出し（カムラッチ）第2区間</x:v>
      </x:c>
      <x:c r="I9" s="36" t="str">
        <x:v>COMPLETE</x:v>
      </x:c>
      <x:c r="J9" s="37" t="str">
        <x:v>EV-008</x:v>
      </x:c>
    </x:row>
    <x:row r="10">
      <x:c r="A10" s="35" t="str">
        <x:v>SEG-VSCAM-3</x:v>
      </x:c>
      <x:c r="B10" s="36" t="str">
        <x:v>SZ-VSCAM</x:v>
      </x:c>
      <x:c r="C10" s="36" t="n">
        <x:v>422</x:v>
      </x:c>
      <x:c r="D10" s="36" t="n">
        <x:v>667</x:v>
      </x:c>
      <x:c r="E10" s="36" t="n">
        <x:v>367</x:v>
      </x:c>
      <x:c r="F10" s="36" t="n">
        <x:v>1616</x:v>
      </x:c>
      <x:c r="G10" s="36" t="str">
        <x:v>ALLOW</x:v>
      </x:c>
      <x:c r="H10" s="36" t="str">
        <x:v>縦すべり出し（カムラッチ）第3区間</x:v>
      </x:c>
      <x:c r="I10" s="36" t="str">
        <x:v>COMPLETE</x:v>
      </x:c>
      <x:c r="J10" s="37" t="str">
        <x:v>EV-008</x:v>
      </x:c>
    </x:row>
    <x:row r="11">
      <x:c r="A11" s="35" t="str">
        <x:v>SEG-HSOP-1</x:v>
      </x:c>
      <x:c r="B11" s="36" t="str">
        <x:v>SZ-HSOP</x:v>
      </x:c>
      <x:c r="C11" s="36" t="n">
        <x:v>317</x:v>
      </x:c>
      <x:c r="D11" s="36" t="n">
        <x:v>357</x:v>
      </x:c>
      <x:c r="E11" s="36" t="n">
        <x:v>316</x:v>
      </x:c>
      <x:c r="F11" s="36" t="n">
        <x:v>356</x:v>
      </x:c>
      <x:c r="G11" s="36" t="str">
        <x:v>ALLOW</x:v>
      </x:c>
      <x:c r="H11" s="36" t="str">
        <x:v>横すべり出し（OP）左下拡張区間</x:v>
      </x:c>
      <x:c r="I11" s="36" t="str">
        <x:v>COMPLETE</x:v>
      </x:c>
      <x:c r="J11" s="37" t="str">
        <x:v>EV-008</x:v>
      </x:c>
    </x:row>
    <x:row r="12">
      <x:c r="A12" s="35" t="str">
        <x:v>SEG-HSOP-2</x:v>
      </x:c>
      <x:c r="B12" s="36" t="str">
        <x:v>SZ-HSOP</x:v>
      </x:c>
      <x:c r="C12" s="36" t="n">
        <x:v>357</x:v>
      </x:c>
      <x:c r="D12" s="36" t="n">
        <x:v>1252</x:v>
      </x:c>
      <x:c r="E12" s="36" t="n">
        <x:v>356</x:v>
      </x:c>
      <x:c r="F12" s="36" t="n">
        <x:v>1251</x:v>
      </x:c>
      <x:c r="G12" s="36" t="str">
        <x:v>ALLOW</x:v>
      </x:c>
      <x:c r="H12" s="36" t="str">
        <x:v>横すべり出し（OP）主区間</x:v>
      </x:c>
      <x:c r="I12" s="36" t="str">
        <x:v>COMPLETE</x:v>
      </x:c>
      <x:c r="J12" s="37" t="str">
        <x:v>EV-008</x:v>
      </x:c>
    </x:row>
    <x:row r="13">
      <x:c r="A13" s="35" t="str">
        <x:v>SEG-HSCAM-1</x:v>
      </x:c>
      <x:c r="B13" s="36" t="str">
        <x:v>SZ-HSCAM</x:v>
      </x:c>
      <x:c r="C13" s="36" t="n">
        <x:v>317</x:v>
      </x:c>
      <x:c r="D13" s="36" t="n">
        <x:v>357</x:v>
      </x:c>
      <x:c r="E13" s="36" t="n">
        <x:v>316</x:v>
      </x:c>
      <x:c r="F13" s="36" t="n">
        <x:v>367</x:v>
      </x:c>
      <x:c r="G13" s="36" t="str">
        <x:v>ALLOW</x:v>
      </x:c>
      <x:c r="H13" s="36" t="str">
        <x:v>横すべり出し（カムラッチ）左下拡張区間</x:v>
      </x:c>
      <x:c r="I13" s="36" t="str">
        <x:v>COMPLETE</x:v>
      </x:c>
      <x:c r="J13" s="37" t="str">
        <x:v>EV-008</x:v>
      </x:c>
    </x:row>
    <x:row r="14">
      <x:c r="A14" s="35" t="str">
        <x:v>SEG-HSCAM-2</x:v>
      </x:c>
      <x:c r="B14" s="36" t="str">
        <x:v>SZ-HSCAM</x:v>
      </x:c>
      <x:c r="C14" s="36" t="n">
        <x:v>357</x:v>
      </x:c>
      <x:c r="D14" s="36" t="n">
        <x:v>887</x:v>
      </x:c>
      <x:c r="E14" s="36" t="n">
        <x:v>316</x:v>
      </x:c>
      <x:c r="F14" s="36" t="n">
        <x:v>1016</x:v>
      </x:c>
      <x:c r="G14" s="36" t="str">
        <x:v>ALLOW</x:v>
      </x:c>
      <x:c r="H14" s="36" t="str">
        <x:v>横すべり出し（カムラッチ）主区間</x:v>
      </x:c>
      <x:c r="I14" s="36" t="str">
        <x:v>COMPLETE</x:v>
      </x:c>
      <x:c r="J14" s="37" t="str">
        <x:v>EV-008</x:v>
      </x:c>
    </x:row>
    <x:row r="15">
      <x:c r="A15" s="35" t="str">
        <x:v>SEG-DHFS-1</x:v>
      </x:c>
      <x:c r="B15" s="36" t="str">
        <x:v>SZ-DHFS</x:v>
      </x:c>
      <x:c r="C15" s="36" t="n">
        <x:v>317</x:v>
      </x:c>
      <x:c r="D15" s="36" t="n">
        <x:v>357</x:v>
      </x:c>
      <x:c r="E15" s="36" t="n">
        <x:v>606</x:v>
      </x:c>
      <x:c r="F15" s="36" t="n">
        <x:v>666</x:v>
      </x:c>
      <x:c r="G15" s="36" t="str">
        <x:v>ALLOW</x:v>
      </x:c>
      <x:c r="H15" s="36" t="str">
        <x:v>上げ下げ窓FS 左側区間</x:v>
      </x:c>
      <x:c r="I15" s="36" t="str">
        <x:v>COMPLETE</x:v>
      </x:c>
      <x:c r="J15" s="37" t="str">
        <x:v>EV-008</x:v>
      </x:c>
    </x:row>
    <x:row r="16">
      <x:c r="A16" s="38" t="str">
        <x:v>SEG-DHFS-2</x:v>
      </x:c>
      <x:c r="B16" s="39" t="str">
        <x:v>SZ-DHFS</x:v>
      </x:c>
      <x:c r="C16" s="39" t="n">
        <x:v>357</x:v>
      </x:c>
      <x:c r="D16" s="39" t="n">
        <x:v>887</x:v>
      </x:c>
      <x:c r="E16" s="39" t="n">
        <x:v>606</x:v>
      </x:c>
      <x:c r="F16" s="39" t="n">
        <x:v>1706</x:v>
      </x:c>
      <x:c r="G16" s="39" t="str">
        <x:v>ALLOW</x:v>
      </x:c>
      <x:c r="H16" s="39" t="str">
        <x:v>上げ下げ窓FS 主区間</x:v>
      </x:c>
      <x:c r="I16" s="39" t="str">
        <x:v>COMPLETE</x:v>
      </x:c>
      <x:c r="J16" s="40" t="str">
        <x:v>EV-008</x:v>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20" hidden="0" customWidth="1"/>
    <x:col min="3" max="3" width="16" hidden="0" customWidth="1"/>
    <x:col min="4" max="4" width="28" hidden="0" customWidth="1"/>
    <x:col min="5" max="5" width="28" hidden="0" customWidth="1"/>
    <x:col min="6" max="6" width="20" hidden="0" customWidth="1"/>
    <x:col min="7" max="7" width="64" hidden="0" customWidth="1"/>
    <x:col min="8" max="8" width="14" hidden="0" customWidth="1"/>
  </x:cols>
  <x:sheetData>
    <x:row r="1" ht="28" customHeight="1">
      <x:c r="A1" s="4" t="str">
        <x:v>05B_境界ルール｜斜線・曲線・特殊境界</x:v>
      </x:c>
      <x:c r="B1" s="4"/>
      <x:c r="C1" s="4"/>
      <x:c r="D1" s="4"/>
      <x:c r="E1" s="4"/>
      <x:c r="F1" s="4"/>
      <x:c r="G1" s="4"/>
      <x:c r="H1" s="4"/>
    </x:row>
    <x:row r="2" ht="34" customHeight="1">
      <x:c r="A2" s="11" t="str">
        <x:v>通常見積では矩形包絡で一次判定し、斜線/曲線・耐風圧・ガラス面積に依存する案件を公式カタログ/見積システム確認へ送る。</x:v>
      </x:c>
      <x:c r="B2" s="11"/>
      <x:c r="C2" s="11"/>
      <x:c r="D2" s="11"/>
      <x:c r="E2" s="11"/>
      <x:c r="F2" s="11"/>
      <x:c r="G2" s="11"/>
      <x:c r="H2" s="11"/>
    </x:row>
    <x:row r="4" ht="30" customHeight="1">
      <x:c r="A4" s="32" t="str">
        <x:v>boundary_rule_id</x:v>
      </x:c>
      <x:c r="B4" s="33" t="str">
        <x:v>size_rule_id</x:v>
      </x:c>
      <x:c r="C4" s="33" t="str">
        <x:v>boundary_type</x:v>
      </x:c>
      <x:c r="D4" s="33" t="str">
        <x:v>公式表記/式</x:v>
      </x:c>
      <x:c r="E4" s="33" t="str">
        <x:v>開始目安</x:v>
      </x:c>
      <x:c r="F4" s="33" t="str">
        <x:v>auto_mode</x:v>
      </x:c>
      <x:c r="G4" s="33" t="str">
        <x:v>判定メモ</x:v>
      </x:c>
      <x:c r="H4" s="34" t="str">
        <x:v>evidence</x:v>
      </x:c>
    </x:row>
    <x:row r="5">
      <x:c r="A5" s="35" t="str">
        <x:v>BR-STD-MAD2</x:v>
      </x:c>
      <x:c r="B5" s="36" t="str">
        <x:v>SZ-STD-SLD-MAD2</x:v>
      </x:c>
      <x:c r="C5" s="36" t="str">
        <x:v>LINE</x:v>
      </x:c>
      <x:c r="D5" s="36" t="str">
        <x:v>(HD+13)/(WD-17)=1.7</x:v>
      </x:c>
      <x:c r="E5" s="36" t="str">
        <x:v>WD≈987付近から上限線</x:v>
      </x:c>
      <x:c r="F5" s="36" t="str">
        <x:v>REFERENCE_ONLY</x:v>
      </x:c>
      <x:c r="G5" s="36" t="str">
        <x:v>斜線と右上曲線を含むため最終許容側は公式図で確認</x:v>
      </x:c>
      <x:c r="H5" s="37" t="str">
        <x:v>EV-006</x:v>
      </x:c>
    </x:row>
    <x:row r="6">
      <x:c r="A6" s="35" t="str">
        <x:v>BR-STD-MAD4</x:v>
      </x:c>
      <x:c r="B6" s="36" t="str">
        <x:v>SZ-STD-SLD-MAD4</x:v>
      </x:c>
      <x:c r="C6" s="36" t="str">
        <x:v>LINE</x:v>
      </x:c>
      <x:c r="D6" s="36" t="str">
        <x:v>(HD+13)/(WD-17)=0.85</x:v>
      </x:c>
      <x:c r="E6" s="36" t="str">
        <x:v>WD≈1958付近から上限線</x:v>
      </x:c>
      <x:c r="F6" s="36" t="str">
        <x:v>REFERENCE_ONLY</x:v>
      </x:c>
      <x:c r="G6" s="36" t="str">
        <x:v>右上の境界を公式図確認</x:v>
      </x:c>
      <x:c r="H6" s="37" t="str">
        <x:v>EV-006</x:v>
      </x:c>
    </x:row>
    <x:row r="7">
      <x:c r="A7" s="35" t="str">
        <x:v>BR-STD-TER2</x:v>
      </x:c>
      <x:c r="B7" s="36" t="str">
        <x:v>SZ-STD-SLD-TER2</x:v>
      </x:c>
      <x:c r="C7" s="36" t="str">
        <x:v>LINE</x:v>
      </x:c>
      <x:c r="D7" s="36" t="str">
        <x:v>(HD-27)/(WD-17)=1.8</x:v>
      </x:c>
      <x:c r="E7" s="36" t="str">
        <x:v>WD≈1406付近の左上限</x:v>
      </x:c>
      <x:c r="F7" s="36" t="str">
        <x:v>REFERENCE_ONLY</x:v>
      </x:c>
      <x:c r="G7" s="36" t="str">
        <x:v>右上曲線、ガラス面積制限を公式確認</x:v>
      </x:c>
      <x:c r="H7" s="37" t="str">
        <x:v>EV-006</x:v>
      </x:c>
    </x:row>
    <x:row r="8">
      <x:c r="A8" s="35" t="str">
        <x:v>BR-STD-TER4</x:v>
      </x:c>
      <x:c r="B8" s="36" t="str">
        <x:v>SZ-STD-SLD-TER4</x:v>
      </x:c>
      <x:c r="C8" s="36" t="str">
        <x:v>LINE</x:v>
      </x:c>
      <x:c r="D8" s="36" t="str">
        <x:v>(HD-27)/(WD-17)=1.01</x:v>
      </x:c>
      <x:c r="E8" s="36" t="str">
        <x:v>WD≈2493付近の左上限</x:v>
      </x:c>
      <x:c r="F8" s="36" t="str">
        <x:v>REFERENCE_ONLY</x:v>
      </x:c>
      <x:c r="G8" s="36" t="str">
        <x:v>右上曲線、ガラス面積制限を公式確認</x:v>
      </x:c>
      <x:c r="H8" s="37" t="str">
        <x:v>EV-006</x:v>
      </x:c>
    </x:row>
    <x:row r="9">
      <x:c r="A9" s="35" t="str">
        <x:v>BR-STD-TER2W</x:v>
      </x:c>
      <x:c r="B9" s="36" t="str">
        <x:v>SZ-STD-SLD-TER2W</x:v>
      </x:c>
      <x:c r="C9" s="36" t="str">
        <x:v>LINE</x:v>
      </x:c>
      <x:c r="D9" s="36" t="str">
        <x:v>(HD-27)/(WD-17)=1.8</x:v>
      </x:c>
      <x:c r="E9" s="36" t="str">
        <x:v>WD≈1406付近の左上限</x:v>
      </x:c>
      <x:c r="F9" s="36" t="str">
        <x:v>REFERENCE_ONLY</x:v>
      </x:c>
      <x:c r="G9" s="36" t="str">
        <x:v>右上曲線を公式確認</x:v>
      </x:c>
      <x:c r="H9" s="37" t="str">
        <x:v>EV-006</x:v>
      </x:c>
    </x:row>
    <x:row r="10">
      <x:c r="A10" s="35" t="str">
        <x:v>BR-BRG-MAD2</x:v>
      </x:c>
      <x:c r="B10" s="36" t="str">
        <x:v>SZ-BRG-SLD-MAD2</x:v>
      </x:c>
      <x:c r="C10" s="36" t="str">
        <x:v>LINE</x:v>
      </x:c>
      <x:c r="D10" s="36" t="str">
        <x:v>(HD+8)/(WD-17)=1.7</x:v>
      </x:c>
      <x:c r="E10" s="36" t="str">
        <x:v>WD≈984付近から上限線</x:v>
      </x:c>
      <x:c r="F10" s="36" t="str">
        <x:v>REFERENCE_ONLY</x:v>
      </x:c>
      <x:c r="G10" s="36" t="str">
        <x:v>右上境界を公式図確認</x:v>
      </x:c>
      <x:c r="H10" s="37" t="str">
        <x:v>EV-007</x:v>
      </x:c>
    </x:row>
    <x:row r="11">
      <x:c r="A11" s="35" t="str">
        <x:v>BR-BRG-MAD4</x:v>
      </x:c>
      <x:c r="B11" s="36" t="str">
        <x:v>SZ-BRG-SLD-MAD4</x:v>
      </x:c>
      <x:c r="C11" s="36" t="str">
        <x:v>LINE</x:v>
      </x:c>
      <x:c r="D11" s="36" t="str">
        <x:v>(HD+8)/(WD-17)=0.85</x:v>
      </x:c>
      <x:c r="E11" s="36" t="str">
        <x:v>WD≈1953付近から上限線</x:v>
      </x:c>
      <x:c r="F11" s="36" t="str">
        <x:v>REFERENCE_ONLY</x:v>
      </x:c>
      <x:c r="G11" s="36" t="str">
        <x:v>右上境界を公式図確認</x:v>
      </x:c>
      <x:c r="H11" s="37" t="str">
        <x:v>EV-007</x:v>
      </x:c>
    </x:row>
    <x:row r="12">
      <x:c r="A12" s="35" t="str">
        <x:v>BR-BRG-TER2</x:v>
      </x:c>
      <x:c r="B12" s="36" t="str">
        <x:v>SZ-BRG-SLD-TER2</x:v>
      </x:c>
      <x:c r="C12" s="36" t="str">
        <x:v>LINE</x:v>
      </x:c>
      <x:c r="D12" s="36" t="str">
        <x:v>(HD-32)/(WD-17)=1.8</x:v>
      </x:c>
      <x:c r="E12" s="36" t="str">
        <x:v>WD≈1403付近の左上限</x:v>
      </x:c>
      <x:c r="F12" s="36" t="str">
        <x:v>REFERENCE_ONLY</x:v>
      </x:c>
      <x:c r="G12" s="36" t="str">
        <x:v>右上曲線を公式確認</x:v>
      </x:c>
      <x:c r="H12" s="37" t="str">
        <x:v>EV-007</x:v>
      </x:c>
    </x:row>
    <x:row r="13">
      <x:c r="A13" s="35" t="str">
        <x:v>BR-BRG-TER4</x:v>
      </x:c>
      <x:c r="B13" s="36" t="str">
        <x:v>SZ-BRG-SLD-TER4</x:v>
      </x:c>
      <x:c r="C13" s="36" t="str">
        <x:v>LINE</x:v>
      </x:c>
      <x:c r="D13" s="36" t="str">
        <x:v>(HD-32)/(WD-17)=1.01</x:v>
      </x:c>
      <x:c r="E13" s="36" t="str">
        <x:v>WD≈2488付近の左上限</x:v>
      </x:c>
      <x:c r="F13" s="36" t="str">
        <x:v>REFERENCE_ONLY</x:v>
      </x:c>
      <x:c r="G13" s="36" t="str">
        <x:v>右上曲線を公式確認</x:v>
      </x:c>
      <x:c r="H13" s="37" t="str">
        <x:v>EV-007</x:v>
      </x:c>
    </x:row>
    <x:row r="14">
      <x:c r="A14" s="35" t="str">
        <x:v>BR-BRG-TER2W</x:v>
      </x:c>
      <x:c r="B14" s="36" t="str">
        <x:v>SZ-BRG-SLD-TER2W</x:v>
      </x:c>
      <x:c r="C14" s="36" t="str">
        <x:v>LINE</x:v>
      </x:c>
      <x:c r="D14" s="36" t="str">
        <x:v>(HD-32)/(WD-17)=1.8</x:v>
      </x:c>
      <x:c r="E14" s="36" t="str">
        <x:v>WD≈1403付近の左上限</x:v>
      </x:c>
      <x:c r="F14" s="36" t="str">
        <x:v>REFERENCE_ONLY</x:v>
      </x:c>
      <x:c r="G14" s="36" t="str">
        <x:v>右上曲線を公式確認</x:v>
      </x:c>
      <x:c r="H14" s="37" t="str">
        <x:v>EV-007</x:v>
      </x:c>
    </x:row>
    <x:row r="15">
      <x:c r="A15" s="35" t="str">
        <x:v>BR-FIXOUT</x:v>
      </x:c>
      <x:c r="B15" s="36" t="str">
        <x:v>SZ-FIXOUT</x:v>
      </x:c>
      <x:c r="C15" s="36" t="str">
        <x:v>CURVE</x:v>
      </x:c>
      <x:c r="D15" s="36" t="str">
        <x:v>公式図の上側曲線</x:v>
      </x:c>
      <x:c r="E15" s="36" t="str">
        <x:v>WD 1839付近以降で上限低下</x:v>
      </x:c>
      <x:c r="F15" s="36" t="str">
        <x:v>MANUAL_CATALOG</x:v>
      </x:c>
      <x:c r="G15" s="36" t="str">
        <x:v>式の推測禁止。p.111確認</x:v>
      </x:c>
      <x:c r="H15" s="37" t="str">
        <x:v>EV-009</x:v>
      </x:c>
    </x:row>
    <x:row r="16">
      <x:c r="A16" s="38" t="str">
        <x:v>BR-FIXIN</x:v>
      </x:c>
      <x:c r="B16" s="39" t="str">
        <x:v>SZ-FIXIN</x:v>
      </x:c>
      <x:c r="C16" s="39" t="str">
        <x:v>CURVE</x:v>
      </x:c>
      <x:c r="D16" s="39" t="str">
        <x:v>公式図の上側曲線</x:v>
      </x:c>
      <x:c r="E16" s="39" t="str">
        <x:v>WD 1870付近以降で上限低下</x:v>
      </x:c>
      <x:c r="F16" s="39" t="str">
        <x:v>MANUAL_CATALOG</x:v>
      </x:c>
      <x:c r="G16" s="39" t="str">
        <x:v>式の推測禁止。p.111確認</x:v>
      </x:c>
      <x:c r="H16" s="40" t="str">
        <x:v>EV-009</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28" hidden="0" customWidth="1"/>
    <x:col min="5" max="5" width="14" hidden="0" customWidth="1"/>
    <x:col min="6" max="6" width="24" hidden="0" customWidth="1"/>
    <x:col min="7" max="7" width="14" hidden="0" customWidth="1"/>
    <x:col min="8" max="8" width="16" hidden="0" customWidth="1"/>
  </x:cols>
  <x:sheetData>
    <x:row r="1" ht="28" customHeight="1">
      <x:c r="A1" s="4" t="str">
        <x:v>06_色｜サッシ色・カバー色分離</x:v>
      </x:c>
      <x:c r="B1" s="4"/>
      <x:c r="C1" s="4"/>
      <x:c r="D1" s="4"/>
      <x:c r="E1" s="4"/>
      <x:c r="F1" s="4"/>
      <x:c r="G1" s="4"/>
      <x:c r="H1" s="4"/>
    </x:row>
    <x:row r="3" ht="30" customHeight="1">
      <x:c r="A3" s="32" t="str">
        <x:v>color_id</x:v>
      </x:c>
      <x:c r="B3" s="33" t="str">
        <x:v>color_role</x:v>
      </x:c>
      <x:c r="C3" s="33" t="str">
        <x:v>code</x:v>
      </x:c>
      <x:c r="D3" s="33" t="str">
        <x:v>正式名称</x:v>
      </x:c>
      <x:c r="E3" s="33" t="str">
        <x:v>color_mode</x:v>
      </x:c>
      <x:c r="F3" s="33" t="str">
        <x:v>対象部位</x:v>
      </x:c>
      <x:c r="G3" s="33" t="str">
        <x:v>status</x:v>
      </x:c>
      <x:c r="H3" s="34" t="str">
        <x:v>evidence</x:v>
      </x:c>
    </x:row>
    <x:row r="4">
      <x:c r="A4" s="35" t="str">
        <x:v>COL-SASH-EXT-T</x:v>
      </x:c>
      <x:c r="B4" s="36" t="str">
        <x:v>sash_exterior_color</x:v>
      </x:c>
      <x:c r="C4" s="36" t="str">
        <x:v>T</x:v>
      </x:c>
      <x:c r="D4" s="36" t="str">
        <x:v>ブラック</x:v>
      </x:c>
      <x:c r="E4" s="36" t="str">
        <x:v>ALL</x:v>
      </x:c>
      <x:c r="F4" s="36" t="str">
        <x:v>外観色</x:v>
      </x:c>
      <x:c r="G4" s="36" t="str">
        <x:v>COMPLETE</x:v>
      </x:c>
      <x:c r="H4" s="37" t="str">
        <x:v>EV-003,014</x:v>
      </x:c>
    </x:row>
    <x:row r="5">
      <x:c r="A5" s="35" t="str">
        <x:v>COL-SASH-EXT-G</x:v>
      </x:c>
      <x:c r="B5" s="36" t="str">
        <x:v>sash_exterior_color</x:v>
      </x:c>
      <x:c r="C5" s="36" t="str">
        <x:v>G</x:v>
      </x:c>
      <x:c r="D5" s="36" t="str">
        <x:v>オータムブラウン</x:v>
      </x:c>
      <x:c r="E5" s="36" t="str">
        <x:v>ALL</x:v>
      </x:c>
      <x:c r="F5" s="36" t="str">
        <x:v>外観色</x:v>
      </x:c>
      <x:c r="G5" s="36" t="str">
        <x:v>COMPLETE</x:v>
      </x:c>
      <x:c r="H5" s="37" t="str">
        <x:v>EV-003,014</x:v>
      </x:c>
    </x:row>
    <x:row r="6">
      <x:c r="A6" s="35" t="str">
        <x:v>COL-SASH-EXT-K</x:v>
      </x:c>
      <x:c r="B6" s="36" t="str">
        <x:v>sash_exterior_color</x:v>
      </x:c>
      <x:c r="C6" s="36" t="str">
        <x:v>K</x:v>
      </x:c>
      <x:c r="D6" s="36" t="str">
        <x:v>シャイングレー</x:v>
      </x:c>
      <x:c r="E6" s="36" t="str">
        <x:v>ALL</x:v>
      </x:c>
      <x:c r="F6" s="36" t="str">
        <x:v>外観色</x:v>
      </x:c>
      <x:c r="G6" s="36" t="str">
        <x:v>COMPLETE</x:v>
      </x:c>
      <x:c r="H6" s="37" t="str">
        <x:v>EV-003,014</x:v>
      </x:c>
    </x:row>
    <x:row r="7">
      <x:c r="A7" s="35" t="str">
        <x:v>COL-SASH-EXT-D</x:v>
      </x:c>
      <x:c r="B7" s="36" t="str">
        <x:v>sash_exterior_color</x:v>
      </x:c>
      <x:c r="C7" s="36" t="str">
        <x:v>D</x:v>
      </x:c>
      <x:c r="D7" s="36" t="str">
        <x:v>ナチュラルシルバー</x:v>
      </x:c>
      <x:c r="E7" s="36" t="str">
        <x:v>ALL</x:v>
      </x:c>
      <x:c r="F7" s="36" t="str">
        <x:v>外観色</x:v>
      </x:c>
      <x:c r="G7" s="36" t="str">
        <x:v>COMPLETE</x:v>
      </x:c>
      <x:c r="H7" s="37" t="str">
        <x:v>EV-003,014</x:v>
      </x:c>
    </x:row>
    <x:row r="8">
      <x:c r="A8" s="35" t="str">
        <x:v>COL-SASH-EXT-W</x:v>
      </x:c>
      <x:c r="B8" s="36" t="str">
        <x:v>sash_exterior_color</x:v>
      </x:c>
      <x:c r="C8" s="36" t="str">
        <x:v>W</x:v>
      </x:c>
      <x:c r="D8" s="36" t="str">
        <x:v>ホワイト</x:v>
      </x:c>
      <x:c r="E8" s="36" t="str">
        <x:v>ALL</x:v>
      </x:c>
      <x:c r="F8" s="36" t="str">
        <x:v>外観色</x:v>
      </x:c>
      <x:c r="G8" s="36" t="str">
        <x:v>COMPLETE</x:v>
      </x:c>
      <x:c r="H8" s="37" t="str">
        <x:v>EV-003,014</x:v>
      </x:c>
    </x:row>
    <x:row r="9">
      <x:c r="A9" s="35" t="str">
        <x:v>COL-SASH-INT-LINK</x:v>
      </x:c>
      <x:c r="B9" s="36" t="str">
        <x:v>sash_interior_color</x:v>
      </x:c>
      <x:c r="C9" s="36" t="str">
        <x:v>LINK_EXT</x:v>
      </x:c>
      <x:c r="D9" s="36" t="str">
        <x:v>外観色連動（外観色・内観色同一）</x:v>
      </x:c>
      <x:c r="E9" s="36" t="str">
        <x:v>SAME</x:v>
      </x:c>
      <x:c r="F9" s="36" t="str">
        <x:v>内観色</x:v>
      </x:c>
      <x:c r="G9" s="36" t="str">
        <x:v>COMPLETE</x:v>
      </x:c>
      <x:c r="H9" s="37" t="str">
        <x:v>EV-003,014</x:v>
      </x:c>
    </x:row>
    <x:row r="10">
      <x:c r="A10" s="35" t="str">
        <x:v>COL-SASH-INT-M</x:v>
      </x:c>
      <x:c r="B10" s="36" t="str">
        <x:v>sash_interior_color</x:v>
      </x:c>
      <x:c r="C10" s="36" t="str">
        <x:v>M</x:v>
      </x:c>
      <x:c r="D10" s="36" t="str">
        <x:v>ブラック</x:v>
      </x:c>
      <x:c r="E10" s="36" t="str">
        <x:v>FREE</x:v>
      </x:c>
      <x:c r="F10" s="36" t="str">
        <x:v>内観色</x:v>
      </x:c>
      <x:c r="G10" s="36" t="str">
        <x:v>COMPLETE</x:v>
      </x:c>
      <x:c r="H10" s="37" t="str">
        <x:v>EV-003,014</x:v>
      </x:c>
    </x:row>
    <x:row r="11">
      <x:c r="A11" s="35" t="str">
        <x:v>COL-SASH-INT-C</x:v>
      </x:c>
      <x:c r="B11" s="36" t="str">
        <x:v>sash_interior_color</x:v>
      </x:c>
      <x:c r="C11" s="36" t="str">
        <x:v>C</x:v>
      </x:c>
      <x:c r="D11" s="36" t="str">
        <x:v>クリエモカP</x:v>
      </x:c>
      <x:c r="E11" s="36" t="str">
        <x:v>FREE</x:v>
      </x:c>
      <x:c r="F11" s="36" t="str">
        <x:v>内観色</x:v>
      </x:c>
      <x:c r="G11" s="36" t="str">
        <x:v>COMPLETE</x:v>
      </x:c>
      <x:c r="H11" s="37" t="str">
        <x:v>EV-003,014</x:v>
      </x:c>
    </x:row>
    <x:row r="12">
      <x:c r="A12" s="35" t="str">
        <x:v>COL-SASH-INT-B</x:v>
      </x:c>
      <x:c r="B12" s="36" t="str">
        <x:v>sash_interior_color</x:v>
      </x:c>
      <x:c r="C12" s="36" t="str">
        <x:v>B</x:v>
      </x:c>
      <x:c r="D12" s="36" t="str">
        <x:v>クリエラスクP</x:v>
      </x:c>
      <x:c r="E12" s="36" t="str">
        <x:v>FREE</x:v>
      </x:c>
      <x:c r="F12" s="36" t="str">
        <x:v>内観色</x:v>
      </x:c>
      <x:c r="G12" s="36" t="str">
        <x:v>COMPLETE</x:v>
      </x:c>
      <x:c r="H12" s="37" t="str">
        <x:v>EV-003,014</x:v>
      </x:c>
    </x:row>
    <x:row r="13">
      <x:c r="A13" s="35" t="str">
        <x:v>COL-SASH-INT-P</x:v>
      </x:c>
      <x:c r="B13" s="36" t="str">
        <x:v>sash_interior_color</x:v>
      </x:c>
      <x:c r="C13" s="36" t="str">
        <x:v>P</x:v>
      </x:c>
      <x:c r="D13" s="36" t="str">
        <x:v>クリエペールP</x:v>
      </x:c>
      <x:c r="E13" s="36" t="str">
        <x:v>FREE</x:v>
      </x:c>
      <x:c r="F13" s="36" t="str">
        <x:v>内観色</x:v>
      </x:c>
      <x:c r="G13" s="36" t="str">
        <x:v>COMPLETE</x:v>
      </x:c>
      <x:c r="H13" s="37" t="str">
        <x:v>EV-003,014</x:v>
      </x:c>
    </x:row>
    <x:row r="14">
      <x:c r="A14" s="35" t="str">
        <x:v>COL-SASH-INT-F</x:v>
      </x:c>
      <x:c r="B14" s="36" t="str">
        <x:v>sash_interior_color</x:v>
      </x:c>
      <x:c r="C14" s="36" t="str">
        <x:v>F</x:v>
      </x:c>
      <x:c r="D14" s="36" t="str">
        <x:v>プレシャスホワイトP</x:v>
      </x:c>
      <x:c r="E14" s="36" t="str">
        <x:v>FREE</x:v>
      </x:c>
      <x:c r="F14" s="36" t="str">
        <x:v>内観色</x:v>
      </x:c>
      <x:c r="G14" s="36" t="str">
        <x:v>COMPLETE</x:v>
      </x:c>
      <x:c r="H14" s="37" t="str">
        <x:v>EV-003,014</x:v>
      </x:c>
    </x:row>
    <x:row r="15">
      <x:c r="A15" s="35" t="str">
        <x:v>COL-COVER-EXT-T</x:v>
      </x:c>
      <x:c r="B15" s="36" t="str">
        <x:v>exterior_cover_color</x:v>
      </x:c>
      <x:c r="C15" s="36" t="str">
        <x:v>T</x:v>
      </x:c>
      <x:c r="D15" s="36" t="str">
        <x:v>ブラック</x:v>
      </x:c>
      <x:c r="E15" s="36" t="str">
        <x:v>ALL</x:v>
      </x:c>
      <x:c r="F15" s="36" t="str">
        <x:v>化粧カバー</x:v>
      </x:c>
      <x:c r="G15" s="36" t="str">
        <x:v>COMPLETE</x:v>
      </x:c>
      <x:c r="H15" s="37" t="str">
        <x:v>EV-003,014</x:v>
      </x:c>
    </x:row>
    <x:row r="16">
      <x:c r="A16" s="35" t="str">
        <x:v>COL-COVER-EXT-G</x:v>
      </x:c>
      <x:c r="B16" s="36" t="str">
        <x:v>exterior_cover_color</x:v>
      </x:c>
      <x:c r="C16" s="36" t="str">
        <x:v>G</x:v>
      </x:c>
      <x:c r="D16" s="36" t="str">
        <x:v>オータムブラウン</x:v>
      </x:c>
      <x:c r="E16" s="36" t="str">
        <x:v>ALL</x:v>
      </x:c>
      <x:c r="F16" s="36" t="str">
        <x:v>化粧カバー</x:v>
      </x:c>
      <x:c r="G16" s="36" t="str">
        <x:v>COMPLETE</x:v>
      </x:c>
      <x:c r="H16" s="37" t="str">
        <x:v>EV-003,014</x:v>
      </x:c>
    </x:row>
    <x:row r="17">
      <x:c r="A17" s="35" t="str">
        <x:v>COL-COVER-EXT-K</x:v>
      </x:c>
      <x:c r="B17" s="36" t="str">
        <x:v>exterior_cover_color</x:v>
      </x:c>
      <x:c r="C17" s="36" t="str">
        <x:v>K</x:v>
      </x:c>
      <x:c r="D17" s="36" t="str">
        <x:v>シャイングレー</x:v>
      </x:c>
      <x:c r="E17" s="36" t="str">
        <x:v>ALL</x:v>
      </x:c>
      <x:c r="F17" s="36" t="str">
        <x:v>化粧カバー</x:v>
      </x:c>
      <x:c r="G17" s="36" t="str">
        <x:v>COMPLETE</x:v>
      </x:c>
      <x:c r="H17" s="37" t="str">
        <x:v>EV-003,014</x:v>
      </x:c>
    </x:row>
    <x:row r="18">
      <x:c r="A18" s="35" t="str">
        <x:v>COL-COVER-EXT-D</x:v>
      </x:c>
      <x:c r="B18" s="36" t="str">
        <x:v>exterior_cover_color</x:v>
      </x:c>
      <x:c r="C18" s="36" t="str">
        <x:v>D</x:v>
      </x:c>
      <x:c r="D18" s="36" t="str">
        <x:v>ナチュラルシルバー</x:v>
      </x:c>
      <x:c r="E18" s="36" t="str">
        <x:v>ALL</x:v>
      </x:c>
      <x:c r="F18" s="36" t="str">
        <x:v>化粧カバー</x:v>
      </x:c>
      <x:c r="G18" s="36" t="str">
        <x:v>COMPLETE</x:v>
      </x:c>
      <x:c r="H18" s="37" t="str">
        <x:v>EV-003,014</x:v>
      </x:c>
    </x:row>
    <x:row r="19">
      <x:c r="A19" s="35" t="str">
        <x:v>COL-COVER-EXT-W</x:v>
      </x:c>
      <x:c r="B19" s="36" t="str">
        <x:v>exterior_cover_color</x:v>
      </x:c>
      <x:c r="C19" s="36" t="str">
        <x:v>W</x:v>
      </x:c>
      <x:c r="D19" s="36" t="str">
        <x:v>ホワイト</x:v>
      </x:c>
      <x:c r="E19" s="36" t="str">
        <x:v>ALL</x:v>
      </x:c>
      <x:c r="F19" s="36" t="str">
        <x:v>化粧カバー</x:v>
      </x:c>
      <x:c r="G19" s="36" t="str">
        <x:v>COMPLETE</x:v>
      </x:c>
      <x:c r="H19" s="37" t="str">
        <x:v>EV-003,014</x:v>
      </x:c>
    </x:row>
    <x:row r="20">
      <x:c r="A20" s="35" t="str">
        <x:v>COL-ANGLE-SAME-M</x:v>
      </x:c>
      <x:c r="B20" s="36" t="str">
        <x:v>interior_cover_color</x:v>
      </x:c>
      <x:c r="C20" s="36" t="str">
        <x:v>M</x:v>
      </x:c>
      <x:c r="D20" s="36" t="str">
        <x:v>ブラック</x:v>
      </x:c>
      <x:c r="E20" s="36" t="str">
        <x:v>SAME</x:v>
      </x:c>
      <x:c r="F20" s="36" t="str">
        <x:v>樹脂アングルカバー</x:v>
      </x:c>
      <x:c r="G20" s="36" t="str">
        <x:v>COMPLETE</x:v>
      </x:c>
      <x:c r="H20" s="37" t="str">
        <x:v>EV-003,014</x:v>
      </x:c>
    </x:row>
    <x:row r="21">
      <x:c r="A21" s="35" t="str">
        <x:v>COL-ANGLE-SAME-G</x:v>
      </x:c>
      <x:c r="B21" s="36" t="str">
        <x:v>interior_cover_color</x:v>
      </x:c>
      <x:c r="C21" s="36" t="str">
        <x:v>G</x:v>
      </x:c>
      <x:c r="D21" s="36" t="str">
        <x:v>オータムブラウン</x:v>
      </x:c>
      <x:c r="E21" s="36" t="str">
        <x:v>SAME</x:v>
      </x:c>
      <x:c r="F21" s="36" t="str">
        <x:v>樹脂アングルカバー</x:v>
      </x:c>
      <x:c r="G21" s="36" t="str">
        <x:v>COMPLETE</x:v>
      </x:c>
      <x:c r="H21" s="37" t="str">
        <x:v>EV-003,014</x:v>
      </x:c>
    </x:row>
    <x:row r="22">
      <x:c r="A22" s="35" t="str">
        <x:v>COL-ANGLE-SAME-K</x:v>
      </x:c>
      <x:c r="B22" s="36" t="str">
        <x:v>interior_cover_color</x:v>
      </x:c>
      <x:c r="C22" s="36" t="str">
        <x:v>K</x:v>
      </x:c>
      <x:c r="D22" s="36" t="str">
        <x:v>シャイングレー</x:v>
      </x:c>
      <x:c r="E22" s="36" t="str">
        <x:v>SAME</x:v>
      </x:c>
      <x:c r="F22" s="36" t="str">
        <x:v>樹脂アングルカバー</x:v>
      </x:c>
      <x:c r="G22" s="36" t="str">
        <x:v>COMPLETE</x:v>
      </x:c>
      <x:c r="H22" s="37" t="str">
        <x:v>EV-003,014</x:v>
      </x:c>
    </x:row>
    <x:row r="23">
      <x:c r="A23" s="35" t="str">
        <x:v>COL-ANGLE-SAME-D</x:v>
      </x:c>
      <x:c r="B23" s="36" t="str">
        <x:v>interior_cover_color</x:v>
      </x:c>
      <x:c r="C23" s="36" t="str">
        <x:v>D</x:v>
      </x:c>
      <x:c r="D23" s="36" t="str">
        <x:v>ナチュラルシルバー</x:v>
      </x:c>
      <x:c r="E23" s="36" t="str">
        <x:v>SAME</x:v>
      </x:c>
      <x:c r="F23" s="36" t="str">
        <x:v>樹脂アングルカバー</x:v>
      </x:c>
      <x:c r="G23" s="36" t="str">
        <x:v>COMPLETE</x:v>
      </x:c>
      <x:c r="H23" s="37" t="str">
        <x:v>EV-003,014</x:v>
      </x:c>
    </x:row>
    <x:row r="24">
      <x:c r="A24" s="35" t="str">
        <x:v>COL-ANGLE-SAME-W</x:v>
      </x:c>
      <x:c r="B24" s="36" t="str">
        <x:v>interior_cover_color</x:v>
      </x:c>
      <x:c r="C24" s="36" t="str">
        <x:v>W</x:v>
      </x:c>
      <x:c r="D24" s="36" t="str">
        <x:v>ホワイト</x:v>
      </x:c>
      <x:c r="E24" s="36" t="str">
        <x:v>SAME</x:v>
      </x:c>
      <x:c r="F24" s="36" t="str">
        <x:v>樹脂アングルカバー</x:v>
      </x:c>
      <x:c r="G24" s="36" t="str">
        <x:v>COMPLETE</x:v>
      </x:c>
      <x:c r="H24" s="37" t="str">
        <x:v>EV-003,014</x:v>
      </x:c>
    </x:row>
    <x:row r="25">
      <x:c r="A25" s="35" t="str">
        <x:v>COL-ANGLE-FREE-M</x:v>
      </x:c>
      <x:c r="B25" s="36" t="str">
        <x:v>interior_cover_color</x:v>
      </x:c>
      <x:c r="C25" s="36" t="str">
        <x:v>M</x:v>
      </x:c>
      <x:c r="D25" s="36" t="str">
        <x:v>ブラック</x:v>
      </x:c>
      <x:c r="E25" s="36" t="str">
        <x:v>FREE</x:v>
      </x:c>
      <x:c r="F25" s="36" t="str">
        <x:v>樹脂アングルカバー</x:v>
      </x:c>
      <x:c r="G25" s="36" t="str">
        <x:v>COMPLETE</x:v>
      </x:c>
      <x:c r="H25" s="37" t="str">
        <x:v>EV-003,014</x:v>
      </x:c>
    </x:row>
    <x:row r="26">
      <x:c r="A26" s="35" t="str">
        <x:v>COL-ANGLE-FREE-C</x:v>
      </x:c>
      <x:c r="B26" s="36" t="str">
        <x:v>interior_cover_color</x:v>
      </x:c>
      <x:c r="C26" s="36" t="str">
        <x:v>C</x:v>
      </x:c>
      <x:c r="D26" s="36" t="str">
        <x:v>クリエモカP</x:v>
      </x:c>
      <x:c r="E26" s="36" t="str">
        <x:v>FREE</x:v>
      </x:c>
      <x:c r="F26" s="36" t="str">
        <x:v>樹脂アングルカバー</x:v>
      </x:c>
      <x:c r="G26" s="36" t="str">
        <x:v>COMPLETE</x:v>
      </x:c>
      <x:c r="H26" s="37" t="str">
        <x:v>EV-003,014</x:v>
      </x:c>
    </x:row>
    <x:row r="27">
      <x:c r="A27" s="35" t="str">
        <x:v>COL-ANGLE-FREE-B</x:v>
      </x:c>
      <x:c r="B27" s="36" t="str">
        <x:v>interior_cover_color</x:v>
      </x:c>
      <x:c r="C27" s="36" t="str">
        <x:v>B</x:v>
      </x:c>
      <x:c r="D27" s="36" t="str">
        <x:v>クリエラスクP</x:v>
      </x:c>
      <x:c r="E27" s="36" t="str">
        <x:v>FREE</x:v>
      </x:c>
      <x:c r="F27" s="36" t="str">
        <x:v>樹脂アングルカバー</x:v>
      </x:c>
      <x:c r="G27" s="36" t="str">
        <x:v>COMPLETE</x:v>
      </x:c>
      <x:c r="H27" s="37" t="str">
        <x:v>EV-003,014</x:v>
      </x:c>
    </x:row>
    <x:row r="28">
      <x:c r="A28" s="35" t="str">
        <x:v>COL-ANGLE-FREE-P</x:v>
      </x:c>
      <x:c r="B28" s="36" t="str">
        <x:v>interior_cover_color</x:v>
      </x:c>
      <x:c r="C28" s="36" t="str">
        <x:v>P</x:v>
      </x:c>
      <x:c r="D28" s="36" t="str">
        <x:v>クリエペールP</x:v>
      </x:c>
      <x:c r="E28" s="36" t="str">
        <x:v>FREE</x:v>
      </x:c>
      <x:c r="F28" s="36" t="str">
        <x:v>樹脂アングルカバー</x:v>
      </x:c>
      <x:c r="G28" s="36" t="str">
        <x:v>COMPLETE</x:v>
      </x:c>
      <x:c r="H28" s="37" t="str">
        <x:v>EV-003,014</x:v>
      </x:c>
    </x:row>
    <x:row r="29">
      <x:c r="A29" s="38" t="str">
        <x:v>COL-ANGLE-FREE-F</x:v>
      </x:c>
      <x:c r="B29" s="39" t="str">
        <x:v>interior_cover_color</x:v>
      </x:c>
      <x:c r="C29" s="39" t="str">
        <x:v>F</x:v>
      </x:c>
      <x:c r="D29" s="39" t="str">
        <x:v>プレシャスホワイトP</x:v>
      </x:c>
      <x:c r="E29" s="39" t="str">
        <x:v>FREE</x:v>
      </x:c>
      <x:c r="F29" s="39" t="str">
        <x:v>樹脂アングルカバー</x:v>
      </x:c>
      <x:c r="G29" s="39" t="str">
        <x:v>COMPLETE</x:v>
      </x:c>
      <x:c r="H29" s="40" t="str">
        <x:v>EV-003,014</x:v>
      </x:c>
    </x:row>
  </x:sheetData>
  <x:mergeCells>
    <x:mergeCell ref="A1:H1"/>
  </x:mergeCells>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24" hidden="0" customWidth="1"/>
    <x:col min="5" max="5" width="56" hidden="0" customWidth="1"/>
    <x:col min="6" max="6" width="24" hidden="0" customWidth="1"/>
    <x:col min="7" max="7" width="38" hidden="0" customWidth="1"/>
    <x:col min="8" max="8" width="14" hidden="0" customWidth="1"/>
    <x:col min="9" max="9" width="16" hidden="0" customWidth="1"/>
  </x:cols>
  <x:sheetData>
    <x:row r="1" ht="28" customHeight="1">
      <x:c r="A1" s="4" t="str">
        <x:v>06A_色適用条件｜色モード</x:v>
      </x:c>
      <x:c r="B1" s="4"/>
      <x:c r="C1" s="4"/>
      <x:c r="D1" s="4"/>
      <x:c r="E1" s="4"/>
      <x:c r="F1" s="4"/>
      <x:c r="G1" s="4"/>
      <x:c r="H1" s="4"/>
      <x:c r="I1" s="4"/>
    </x:row>
    <x:row r="3" ht="30" customHeight="1">
      <x:c r="A3" s="32" t="str">
        <x:v>rule_id</x:v>
      </x:c>
      <x:c r="B3" s="33" t="str">
        <x:v>variation_id</x:v>
      </x:c>
      <x:c r="C3" s="33" t="str">
        <x:v>color_mode</x:v>
      </x:c>
      <x:c r="D3" s="33" t="str">
        <x:v>sash_exterior</x:v>
      </x:c>
      <x:c r="E3" s="33" t="str">
        <x:v>sash_interior</x:v>
      </x:c>
      <x:c r="F3" s="33" t="str">
        <x:v>exterior_cover</x:v>
      </x:c>
      <x:c r="G3" s="33" t="str">
        <x:v>interior_cover</x:v>
      </x:c>
      <x:c r="H3" s="33" t="str">
        <x:v>status</x:v>
      </x:c>
      <x:c r="I3" s="34" t="str">
        <x:v>evidence</x:v>
      </x:c>
    </x:row>
    <x:row r="4">
      <x:c r="A4" s="35" t="str">
        <x:v>CM-SAME</x:v>
      </x:c>
      <x:c r="B4" s="36" t="str">
        <x:v>RPL_ROOM</x:v>
      </x:c>
      <x:c r="C4" s="36" t="str">
        <x:v>SAME</x:v>
      </x:c>
      <x:c r="D4" s="36" t="str">
        <x:v>外観5色</x:v>
      </x:c>
      <x:c r="E4" s="36" t="str">
        <x:v>外観色連動</x:v>
      </x:c>
      <x:c r="F4" s="36" t="str">
        <x:v>化粧カバー5色</x:v>
      </x:c>
      <x:c r="G4" s="36" t="str">
        <x:v>樹脂アングルカバー同一系5色</x:v>
      </x:c>
      <x:c r="H4" s="36" t="str">
        <x:v>COMPLETE</x:v>
      </x:c>
      <x:c r="I4" s="37" t="str">
        <x:v>EV-003,014</x:v>
      </x:c>
    </x:row>
    <x:row r="5">
      <x:c r="A5" s="38" t="str">
        <x:v>CM-FREE</x:v>
      </x:c>
      <x:c r="B5" s="39" t="str">
        <x:v>RPL_ROOM</x:v>
      </x:c>
      <x:c r="C5" s="39" t="str">
        <x:v>FREE</x:v>
      </x:c>
      <x:c r="D5" s="39" t="str">
        <x:v>外観5色</x:v>
      </x:c>
      <x:c r="E5" s="39" t="str">
        <x:v>ブラック/クリエモカP/クリエラスクP/クリエペールP/プレシャスホワイトP</x:v>
      </x:c>
      <x:c r="F5" s="39" t="str">
        <x:v>化粧カバー5色</x:v>
      </x:c>
      <x:c r="G5" s="39" t="str">
        <x:v>樹脂アングルカバーFREE系5色</x:v>
      </x:c>
      <x:c r="H5" s="39" t="str">
        <x:v>COMPLETE</x:v>
      </x:c>
      <x:c r="I5" s="40" t="str">
        <x:v>EV-003,014</x:v>
      </x:c>
    </x:row>
  </x:sheetData>
  <x:mergeCells>
    <x:mergeCell ref="A1:I1"/>
  </x:mergeCell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42" hidden="0" customWidth="1"/>
    <x:col min="3" max="3" width="20" hidden="0" customWidth="1"/>
    <x:col min="4" max="4" width="14" hidden="0" customWidth="1"/>
    <x:col min="5" max="5" width="42" hidden="0" customWidth="1"/>
    <x:col min="6" max="6" width="42" hidden="0" customWidth="1"/>
    <x:col min="7" max="7" width="18" hidden="0" customWidth="1"/>
    <x:col min="8" max="8" width="14" hidden="0" customWidth="1"/>
    <x:col min="9" max="9" width="18" hidden="0" customWidth="1"/>
  </x:cols>
  <x:sheetData>
    <x:row r="1" ht="28" customHeight="1">
      <x:c r="A1" s="127" t="str">
        <x:v>07_網戸｜居室仕様 完成マッピング</x:v>
      </x:c>
      <x:c r="B1" s="127"/>
      <x:c r="C1" s="127"/>
      <x:c r="D1" s="127"/>
      <x:c r="E1" s="127"/>
      <x:c r="F1" s="127"/>
      <x:c r="G1" s="127"/>
      <x:c r="H1" s="127"/>
      <x:c r="I1" s="127"/>
    </x:row>
    <x:row r="2" ht="34" customHeight="1">
      <x:c r="A2" s="130" t="str">
        <x:v>居室仕様の見積UIでは窓種に応じて候補を絞る。FIX窓では網戸選択を表示しない。引違い窓はマド/テラスと中桟有無を分離。</x:v>
      </x:c>
      <x:c r="B2" s="130"/>
      <x:c r="C2" s="130"/>
      <x:c r="D2" s="130"/>
      <x:c r="E2" s="130"/>
      <x:c r="F2" s="130"/>
      <x:c r="G2" s="130"/>
      <x:c r="H2" s="130"/>
      <x:c r="I2" s="133"/>
    </x:row>
    <x:row r="4" ht="30" customHeight="1">
      <x:c r="A4" s="141" t="str">
        <x:v>screen_id</x:v>
      </x:c>
      <x:c r="B4" s="142" t="str">
        <x:v>公式名称</x:v>
      </x:c>
      <x:c r="C4" s="142" t="str">
        <x:v>screen_type</x:v>
      </x:c>
      <x:c r="D4" s="142" t="str">
        <x:v>middle_bar</x:v>
      </x:c>
      <x:c r="E4" s="142" t="str">
        <x:v>mesh_options</x:v>
      </x:c>
      <x:c r="F4" s="142" t="str">
        <x:v>window_type_id</x:v>
      </x:c>
      <x:c r="G4" s="142" t="str">
        <x:v>適用区分</x:v>
      </x:c>
      <x:c r="H4" s="142" t="str">
        <x:v>status</x:v>
      </x:c>
      <x:c r="I4" s="143" t="str">
        <x:v>evidence</x:v>
      </x:c>
    </x:row>
    <x:row r="5">
      <x:c r="A5" s="144" t="str">
        <x:v>SCR-SLD-MAD-NOBAR</x:v>
      </x:c>
      <x:c r="B5" s="145" t="str">
        <x:v>マドサイズ引違い網戸（中桟無）</x:v>
      </x:c>
      <x:c r="C5" s="145" t="str">
        <x:v>SLIDING</x:v>
      </x:c>
      <x:c r="D5" s="145" t="str">
        <x:v>中桟無</x:v>
      </x:c>
      <x:c r="E5" s="145" t="str">
        <x:v>標準/きれい/虫イヤ/ペット</x:v>
      </x:c>
      <x:c r="F5" s="145" t="str">
        <x:v>RPL_ROOM_SLD</x:v>
      </x:c>
      <x:c r="G5" s="145" t="str">
        <x:v>マド</x:v>
      </x:c>
      <x:c r="H5" s="145" t="str">
        <x:v>COMPLETE</x:v>
      </x:c>
      <x:c r="I5" s="146" t="str">
        <x:v>EV-017,022</x:v>
      </x:c>
    </x:row>
    <x:row r="6">
      <x:c r="A6" s="144" t="str">
        <x:v>SCR-SLD-TER-NOBAR</x:v>
      </x:c>
      <x:c r="B6" s="145" t="str">
        <x:v>テラスサイズ引違い網戸（中桟無）</x:v>
      </x:c>
      <x:c r="C6" s="145" t="str">
        <x:v>SLIDING</x:v>
      </x:c>
      <x:c r="D6" s="145" t="str">
        <x:v>中桟無</x:v>
      </x:c>
      <x:c r="E6" s="145" t="str">
        <x:v>標準/きれい/虫イヤ/ペット</x:v>
      </x:c>
      <x:c r="F6" s="145" t="str">
        <x:v>RPL_ROOM_SLD</x:v>
      </x:c>
      <x:c r="G6" s="145" t="str">
        <x:v>テラス</x:v>
      </x:c>
      <x:c r="H6" s="145" t="str">
        <x:v>COMPLETE</x:v>
      </x:c>
      <x:c r="I6" s="146" t="str">
        <x:v>EV-017,022</x:v>
      </x:c>
    </x:row>
    <x:row r="7">
      <x:c r="A7" s="144" t="str">
        <x:v>SCR-SLD-TER-BAR</x:v>
      </x:c>
      <x:c r="B7" s="145" t="str">
        <x:v>テラスサイズ引違い網戸（中桟付）</x:v>
      </x:c>
      <x:c r="C7" s="145" t="str">
        <x:v>SLIDING</x:v>
      </x:c>
      <x:c r="D7" s="145" t="str">
        <x:v>中桟付</x:v>
      </x:c>
      <x:c r="E7" s="145" t="str">
        <x:v>標準/きれい/虫イヤ/ペット</x:v>
      </x:c>
      <x:c r="F7" s="145" t="str">
        <x:v>RPL_ROOM_SLD</x:v>
      </x:c>
      <x:c r="G7" s="145" t="str">
        <x:v>テラス</x:v>
      </x:c>
      <x:c r="H7" s="145" t="str">
        <x:v>COMPLETE</x:v>
      </x:c>
      <x:c r="I7" s="146" t="str">
        <x:v>EV-017,022</x:v>
      </x:c>
    </x:row>
    <x:row r="8">
      <x:c r="A8" s="144" t="str">
        <x:v>SCR-FIXED</x:v>
      </x:c>
      <x:c r="B8" s="145" t="str">
        <x:v>固定式網戸</x:v>
      </x:c>
      <x:c r="C8" s="145" t="str">
        <x:v>FIXED</x:v>
      </x:c>
      <x:c r="D8" s="145" t="str">
        <x:v>—</x:v>
      </x:c>
      <x:c r="E8" s="145" t="str">
        <x:v>標準/きれい/虫イヤ/ペット※品種制限あり</x:v>
      </x:c>
      <x:c r="F8" s="145" t="str">
        <x:v>RPL_ROOM_VS_OP / RPL_ROOM_HS_OP</x:v>
      </x:c>
      <x:c r="G8" s="145" t="str">
        <x:v>窓種別</x:v>
      </x:c>
      <x:c r="H8" s="145" t="str">
        <x:v>COMPLETE</x:v>
      </x:c>
      <x:c r="I8" s="146" t="str">
        <x:v>EV-017</x:v>
      </x:c>
    </x:row>
    <x:row r="9">
      <x:c r="A9" s="144" t="str">
        <x:v>SCR-HROLL</x:v>
      </x:c>
      <x:c r="B9" s="145" t="str">
        <x:v>横引きロール網戸</x:v>
      </x:c>
      <x:c r="C9" s="145" t="str">
        <x:v>ROLL_HORIZONTAL</x:v>
      </x:c>
      <x:c r="D9" s="145" t="str">
        <x:v>—</x:v>
      </x:c>
      <x:c r="E9" s="145" t="str">
        <x:v>標準/きれい/虫イヤ</x:v>
      </x:c>
      <x:c r="F9" s="145" t="str">
        <x:v>RPL_ROOM_VS_CAM / RPL_ROOM_HS_CAM</x:v>
      </x:c>
      <x:c r="G9" s="145" t="str">
        <x:v>窓種別</x:v>
      </x:c>
      <x:c r="H9" s="145" t="str">
        <x:v>COMPLETE</x:v>
      </x:c>
      <x:c r="I9" s="146" t="str">
        <x:v>EV-017</x:v>
      </x:c>
    </x:row>
    <x:row r="10">
      <x:c r="A10" s="144" t="str">
        <x:v>SCR-DH</x:v>
      </x:c>
      <x:c r="B10" s="145" t="str">
        <x:v>上げ下げ式網戸</x:v>
      </x:c>
      <x:c r="C10" s="145" t="str">
        <x:v>DOUBLE_HUNG</x:v>
      </x:c>
      <x:c r="D10" s="145" t="str">
        <x:v>—</x:v>
      </x:c>
      <x:c r="E10" s="145" t="str">
        <x:v>標準/きれい/虫イヤ/ペット</x:v>
      </x:c>
      <x:c r="F10" s="145" t="str">
        <x:v>RPL_ROOM_DHFS</x:v>
      </x:c>
      <x:c r="G10" s="145" t="str">
        <x:v>全体</x:v>
      </x:c>
      <x:c r="H10" s="145" t="str">
        <x:v>COMPLETE</x:v>
      </x:c>
      <x:c r="I10" s="146" t="str">
        <x:v>EV-017</x:v>
      </x:c>
    </x:row>
    <x:row r="11">
      <x:c r="A11" s="147" t="str">
        <x:v>SCR-NONE-FIX</x:v>
      </x:c>
      <x:c r="B11" s="148" t="str">
        <x:v>設定なし</x:v>
      </x:c>
      <x:c r="C11" s="148" t="str">
        <x:v>NONE</x:v>
      </x:c>
      <x:c r="D11" s="148" t="str">
        <x:v>—</x:v>
      </x:c>
      <x:c r="E11" s="148" t="str">
        <x:v>—</x:v>
      </x:c>
      <x:c r="F11" s="148" t="str">
        <x:v>RPL_ROOM_FIX_OUT / RPL_ROOM_FIX_IN</x:v>
      </x:c>
      <x:c r="G11" s="148" t="str">
        <x:v>FIX窓</x:v>
      </x:c>
      <x:c r="H11" s="148" t="str">
        <x:v>COMPLETE</x:v>
      </x:c>
      <x:c r="I11" s="149" t="str">
        <x:v>EV-017</x:v>
      </x:c>
    </x:row>
    <x:row r="12">
      <x:c r="A12" s="35"/>
      <x:c r="B12" s="36"/>
      <x:c r="C12" s="36"/>
      <x:c r="D12" s="36"/>
      <x:c r="E12" s="36"/>
      <x:c r="F12" s="36"/>
      <x:c r="G12" s="36"/>
      <x:c r="H12" s="37"/>
    </x:row>
    <x:row r="13">
      <x:c r="A13" s="38"/>
      <x:c r="B13" s="39"/>
      <x:c r="C13" s="39"/>
      <x:c r="D13" s="39"/>
      <x:c r="E13" s="39"/>
      <x:c r="F13" s="39"/>
      <x:c r="G13" s="39"/>
      <x:c r="H13" s="40"/>
    </x:row>
  </x:sheetData>
  <x:mergeCells>
    <x:mergeCell ref="A1:H1"/>
    <x:mergeCell ref="A2:H2"/>
    <x:mergeCell ref="A1:I1"/>
    <x:mergeCell ref="A2:I2"/>
  </x:mergeCell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6" hidden="0" customWidth="1"/>
    <x:col min="3" max="3" width="16" hidden="0" customWidth="1"/>
    <x:col min="4" max="4" width="22" hidden="0" customWidth="1"/>
    <x:col min="5" max="5" width="26" hidden="0" customWidth="1"/>
    <x:col min="6" max="6" width="22" hidden="0" customWidth="1"/>
    <x:col min="7" max="7" width="52" hidden="0" customWidth="1"/>
    <x:col min="8" max="8" width="14" hidden="0" customWidth="1"/>
    <x:col min="9" max="9" width="18" hidden="0" customWidth="1"/>
  </x:cols>
  <x:sheetData>
    <x:row r="1" ht="28" customHeight="1">
      <x:c r="A1" s="127" t="str">
        <x:v>07A_網戸適用条件｜窓種連動</x:v>
      </x:c>
      <x:c r="B1" s="127"/>
      <x:c r="C1" s="127"/>
      <x:c r="D1" s="127"/>
      <x:c r="E1" s="127"/>
      <x:c r="F1" s="127"/>
      <x:c r="G1" s="127"/>
      <x:c r="H1" s="127"/>
      <x:c r="I1" s="127"/>
    </x:row>
    <x:row r="3" ht="30" customHeight="1">
      <x:c r="A3" s="141" t="str">
        <x:v>rule_id</x:v>
      </x:c>
      <x:c r="B3" s="142" t="str">
        <x:v>window_type_id</x:v>
      </x:c>
      <x:c r="C3" s="142" t="str">
        <x:v>height_category</x:v>
      </x:c>
      <x:c r="D3" s="142" t="str">
        <x:v>size_condition</x:v>
      </x:c>
      <x:c r="E3" s="142" t="str">
        <x:v>screen_id</x:v>
      </x:c>
      <x:c r="F3" s="142" t="str">
        <x:v>ui_action</x:v>
      </x:c>
      <x:c r="G3" s="142" t="str">
        <x:v>note</x:v>
      </x:c>
      <x:c r="H3" s="142" t="str">
        <x:v>status</x:v>
      </x:c>
      <x:c r="I3" s="143" t="str">
        <x:v>evidence</x:v>
      </x:c>
    </x:row>
    <x:row r="4">
      <x:c r="A4" s="144" t="str">
        <x:v>SC-001</x:v>
      </x:c>
      <x:c r="B4" s="145" t="str">
        <x:v>RPL_ROOM_SLD</x:v>
      </x:c>
      <x:c r="C4" s="145" t="str">
        <x:v>マド</x:v>
      </x:c>
      <x:c r="D4" s="145" t="str">
        <x:v>ANY</x:v>
      </x:c>
      <x:c r="E4" s="145" t="str">
        <x:v>SCR-SLD-MAD-NOBAR</x:v>
      </x:c>
      <x:c r="F4" s="145" t="str">
        <x:v>SHOW</x:v>
      </x:c>
      <x:c r="G4" s="145" t="str">
        <x:v>—</x:v>
      </x:c>
      <x:c r="H4" s="145" t="str">
        <x:v>COMPLETE</x:v>
      </x:c>
      <x:c r="I4" s="146" t="str">
        <x:v>EV-017,022</x:v>
      </x:c>
    </x:row>
    <x:row r="5">
      <x:c r="A5" s="144" t="str">
        <x:v>SC-002</x:v>
      </x:c>
      <x:c r="B5" s="145" t="str">
        <x:v>RPL_ROOM_SLD</x:v>
      </x:c>
      <x:c r="C5" s="145" t="str">
        <x:v>テラス</x:v>
      </x:c>
      <x:c r="D5" s="145" t="str">
        <x:v>ANY</x:v>
      </x:c>
      <x:c r="E5" s="145" t="str">
        <x:v>SCR-SLD-TER-NOBAR</x:v>
      </x:c>
      <x:c r="F5" s="145" t="str">
        <x:v>SHOW</x:v>
      </x:c>
      <x:c r="G5" s="145" t="str">
        <x:v>—</x:v>
      </x:c>
      <x:c r="H5" s="145" t="str">
        <x:v>COMPLETE</x:v>
      </x:c>
      <x:c r="I5" s="146" t="str">
        <x:v>EV-017,022</x:v>
      </x:c>
    </x:row>
    <x:row r="6">
      <x:c r="A6" s="144" t="str">
        <x:v>SC-003</x:v>
      </x:c>
      <x:c r="B6" s="145" t="str">
        <x:v>RPL_ROOM_SLD</x:v>
      </x:c>
      <x:c r="C6" s="145" t="str">
        <x:v>テラス</x:v>
      </x:c>
      <x:c r="D6" s="145" t="str">
        <x:v>SIZE_CONDITIONAL</x:v>
      </x:c>
      <x:c r="E6" s="145" t="str">
        <x:v>SCR-SLD-TER-BAR</x:v>
      </x:c>
      <x:c r="F6" s="145" t="str">
        <x:v>SHOW_IF_ALLOWED</x:v>
      </x:c>
      <x:c r="G6" s="145" t="str">
        <x:v>中桟付製作範囲内のみ</x:v>
      </x:c>
      <x:c r="H6" s="145" t="str">
        <x:v>COMPLETE</x:v>
      </x:c>
      <x:c r="I6" s="146" t="str">
        <x:v>EV-006,007,017</x:v>
      </x:c>
    </x:row>
    <x:row r="7">
      <x:c r="A7" s="144" t="str">
        <x:v>SC-004</x:v>
      </x:c>
      <x:c r="B7" s="145" t="str">
        <x:v>RPL_ROOM_VS_OP</x:v>
      </x:c>
      <x:c r="C7" s="145" t="str">
        <x:v>—</x:v>
      </x:c>
      <x:c r="D7" s="145" t="str">
        <x:v>ANY</x:v>
      </x:c>
      <x:c r="E7" s="145" t="str">
        <x:v>SCR-FIXED</x:v>
      </x:c>
      <x:c r="F7" s="145" t="str">
        <x:v>SHOW</x:v>
      </x:c>
      <x:c r="G7" s="145" t="str">
        <x:v>固定式網戸</x:v>
      </x:c>
      <x:c r="H7" s="145" t="str">
        <x:v>COMPLETE</x:v>
      </x:c>
      <x:c r="I7" s="146" t="str">
        <x:v>EV-017</x:v>
      </x:c>
    </x:row>
    <x:row r="8">
      <x:c r="A8" s="144" t="str">
        <x:v>SC-005</x:v>
      </x:c>
      <x:c r="B8" s="145" t="str">
        <x:v>RPL_ROOM_HS_OP</x:v>
      </x:c>
      <x:c r="C8" s="145" t="str">
        <x:v>—</x:v>
      </x:c>
      <x:c r="D8" s="145" t="str">
        <x:v>ANY</x:v>
      </x:c>
      <x:c r="E8" s="145" t="str">
        <x:v>SCR-FIXED</x:v>
      </x:c>
      <x:c r="F8" s="145" t="str">
        <x:v>SHOW</x:v>
      </x:c>
      <x:c r="G8" s="145" t="str">
        <x:v>固定式網戸</x:v>
      </x:c>
      <x:c r="H8" s="145" t="str">
        <x:v>COMPLETE</x:v>
      </x:c>
      <x:c r="I8" s="146" t="str">
        <x:v>EV-017</x:v>
      </x:c>
    </x:row>
    <x:row r="9">
      <x:c r="A9" s="144" t="str">
        <x:v>SC-006</x:v>
      </x:c>
      <x:c r="B9" s="145" t="str">
        <x:v>RPL_ROOM_VS_CAM</x:v>
      </x:c>
      <x:c r="C9" s="145" t="str">
        <x:v>—</x:v>
      </x:c>
      <x:c r="D9" s="145" t="str">
        <x:v>ANY</x:v>
      </x:c>
      <x:c r="E9" s="145" t="str">
        <x:v>SCR-HROLL</x:v>
      </x:c>
      <x:c r="F9" s="145" t="str">
        <x:v>SHOW</x:v>
      </x:c>
      <x:c r="G9" s="145" t="str">
        <x:v>横引きロール網戸</x:v>
      </x:c>
      <x:c r="H9" s="145" t="str">
        <x:v>COMPLETE</x:v>
      </x:c>
      <x:c r="I9" s="146" t="str">
        <x:v>EV-017</x:v>
      </x:c>
    </x:row>
    <x:row r="10">
      <x:c r="A10" s="144" t="str">
        <x:v>SC-007</x:v>
      </x:c>
      <x:c r="B10" s="145" t="str">
        <x:v>RPL_ROOM_HS_CAM</x:v>
      </x:c>
      <x:c r="C10" s="145" t="str">
        <x:v>—</x:v>
      </x:c>
      <x:c r="D10" s="145" t="str">
        <x:v>ANY</x:v>
      </x:c>
      <x:c r="E10" s="145" t="str">
        <x:v>SCR-HROLL</x:v>
      </x:c>
      <x:c r="F10" s="145" t="str">
        <x:v>SHOW</x:v>
      </x:c>
      <x:c r="G10" s="145" t="str">
        <x:v>横引きロール網戸</x:v>
      </x:c>
      <x:c r="H10" s="145" t="str">
        <x:v>COMPLETE</x:v>
      </x:c>
      <x:c r="I10" s="146" t="str">
        <x:v>EV-017</x:v>
      </x:c>
    </x:row>
    <x:row r="11">
      <x:c r="A11" s="144" t="str">
        <x:v>SC-008</x:v>
      </x:c>
      <x:c r="B11" s="145" t="str">
        <x:v>RPL_ROOM_DHFS</x:v>
      </x:c>
      <x:c r="C11" s="145" t="str">
        <x:v>—</x:v>
      </x:c>
      <x:c r="D11" s="145" t="str">
        <x:v>ANY</x:v>
      </x:c>
      <x:c r="E11" s="145" t="str">
        <x:v>SCR-DH</x:v>
      </x:c>
      <x:c r="F11" s="145" t="str">
        <x:v>SHOW</x:v>
      </x:c>
      <x:c r="G11" s="145" t="str">
        <x:v>上げ下げ式網戸</x:v>
      </x:c>
      <x:c r="H11" s="145" t="str">
        <x:v>COMPLETE</x:v>
      </x:c>
      <x:c r="I11" s="146" t="str">
        <x:v>EV-017</x:v>
      </x:c>
    </x:row>
    <x:row r="12">
      <x:c r="A12" s="144" t="str">
        <x:v>SC-009</x:v>
      </x:c>
      <x:c r="B12" s="145" t="str">
        <x:v>RPL_ROOM_FIX_OUT</x:v>
      </x:c>
      <x:c r="C12" s="145" t="str">
        <x:v>—</x:v>
      </x:c>
      <x:c r="D12" s="145" t="str">
        <x:v>ANY</x:v>
      </x:c>
      <x:c r="E12" s="145" t="str">
        <x:v>SCR-NONE-FIX</x:v>
      </x:c>
      <x:c r="F12" s="145" t="str">
        <x:v>HIDE_SCREEN_UI</x:v>
      </x:c>
      <x:c r="G12" s="145" t="str">
        <x:v>FIX窓</x:v>
      </x:c>
      <x:c r="H12" s="145" t="str">
        <x:v>COMPLETE</x:v>
      </x:c>
      <x:c r="I12" s="146" t="str">
        <x:v>EV-017</x:v>
      </x:c>
    </x:row>
    <x:row r="13">
      <x:c r="A13" s="147" t="str">
        <x:v>SC-010</x:v>
      </x:c>
      <x:c r="B13" s="148" t="str">
        <x:v>RPL_ROOM_FIX_IN</x:v>
      </x:c>
      <x:c r="C13" s="148" t="str">
        <x:v>—</x:v>
      </x:c>
      <x:c r="D13" s="148" t="str">
        <x:v>ANY</x:v>
      </x:c>
      <x:c r="E13" s="148" t="str">
        <x:v>SCR-NONE-FIX</x:v>
      </x:c>
      <x:c r="F13" s="148" t="str">
        <x:v>HIDE_SCREEN_UI</x:v>
      </x:c>
      <x:c r="G13" s="148" t="str">
        <x:v>FIX窓</x:v>
      </x:c>
      <x:c r="H13" s="148" t="str">
        <x:v>COMPLETE</x:v>
      </x:c>
      <x:c r="I13" s="149" t="str">
        <x:v>EV-017</x:v>
      </x:c>
    </x:row>
  </x:sheetData>
  <x:mergeCells>
    <x:mergeCell ref="A1:H1"/>
    <x:mergeCell ref="A1:I1"/>
  </x:mergeCell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46" hidden="0" customWidth="1"/>
    <x:col min="3" max="3" width="22" hidden="0" customWidth="1"/>
    <x:col min="4" max="4" width="28" hidden="0" customWidth="1"/>
    <x:col min="5" max="5" width="18" hidden="0" customWidth="1"/>
    <x:col min="6" max="6" width="30" hidden="0" customWidth="1"/>
    <x:col min="7" max="7" width="14" hidden="0" customWidth="1"/>
    <x:col min="8" max="8" width="18" hidden="0" customWidth="1"/>
  </x:cols>
  <x:sheetData>
    <x:row r="1" ht="28" customHeight="1">
      <x:c r="A1" s="127" t="str">
        <x:v>08_ガラス｜居室仕様 完成体系</x:v>
      </x:c>
      <x:c r="B1" s="127"/>
      <x:c r="C1" s="127"/>
      <x:c r="D1" s="127"/>
      <x:c r="E1" s="127"/>
      <x:c r="F1" s="127"/>
      <x:c r="G1" s="127"/>
      <x:c r="H1" s="127"/>
    </x:row>
    <x:row r="2" ht="34" customHeight="1">
      <x:c r="A2" s="130" t="str">
        <x:v>通常UIはガラス大分類→詳細の順。ガラス面積/戸車耐荷重で外れる境界は自動確定せず、公式制限表・見積システム確認へ送る。</x:v>
      </x:c>
      <x:c r="B2" s="130"/>
      <x:c r="C2" s="130"/>
      <x:c r="D2" s="130"/>
      <x:c r="E2" s="130"/>
      <x:c r="F2" s="130"/>
      <x:c r="G2" s="130"/>
      <x:c r="H2" s="130"/>
    </x:row>
    <x:row r="4" ht="30" customHeight="1">
      <x:c r="A4" s="141" t="str">
        <x:v>glass_id</x:v>
      </x:c>
      <x:c r="B4" s="142" t="str">
        <x:v>公式名称</x:v>
      </x:c>
      <x:c r="C4" s="142" t="str">
        <x:v>glass_category</x:v>
      </x:c>
      <x:c r="D4" s="142" t="str">
        <x:v>glass_detail</x:v>
      </x:c>
      <x:c r="E4" s="142" t="str">
        <x:v>function</x:v>
      </x:c>
      <x:c r="F4" s="142" t="str">
        <x:v>適用</x:v>
      </x:c>
      <x:c r="G4" s="142" t="str">
        <x:v>status</x:v>
      </x:c>
      <x:c r="H4" s="143" t="str">
        <x:v>evidence</x:v>
      </x:c>
    </x:row>
    <x:row r="5">
      <x:c r="A5" s="144" t="str">
        <x:v>GL-PG</x:v>
      </x:c>
      <x:c r="B5" s="145" t="str">
        <x:v>一般複層ガラス</x:v>
      </x:c>
      <x:c r="C5" s="145" t="str">
        <x:v>複層ガラス</x:v>
      </x:c>
      <x:c r="D5" s="145" t="str">
        <x:v>透明/型</x:v>
      </x:c>
      <x:c r="E5" s="145" t="str">
        <x:v>標準</x:v>
      </x:c>
      <x:c r="F5" s="145" t="str">
        <x:v>RPL_ROOM</x:v>
      </x:c>
      <x:c r="G5" s="145" t="str">
        <x:v>COMPLETE</x:v>
      </x:c>
      <x:c r="H5" s="146" t="str">
        <x:v>EV-020</x:v>
      </x:c>
    </x:row>
    <x:row r="6">
      <x:c r="A6" s="144" t="str">
        <x:v>GL-LOWE-CLEAR</x:v>
      </x:c>
      <x:c r="B6" s="145" t="str">
        <x:v>Low-E複層ガラス クリア</x:v>
      </x:c>
      <x:c r="C6" s="145" t="str">
        <x:v>Low-E複層ガラス</x:v>
      </x:c>
      <x:c r="D6" s="145" t="str">
        <x:v>透明/型</x:v>
      </x:c>
      <x:c r="E6" s="145" t="str">
        <x:v>断熱</x:v>
      </x:c>
      <x:c r="F6" s="145" t="str">
        <x:v>RPL_ROOM</x:v>
      </x:c>
      <x:c r="G6" s="145" t="str">
        <x:v>COMPLETE</x:v>
      </x:c>
      <x:c r="H6" s="146" t="str">
        <x:v>EV-020</x:v>
      </x:c>
    </x:row>
    <x:row r="7">
      <x:c r="A7" s="144" t="str">
        <x:v>GL-LOWE-GREEN</x:v>
      </x:c>
      <x:c r="B7" s="145" t="str">
        <x:v>Low-E複層ガラス グリーン</x:v>
      </x:c>
      <x:c r="C7" s="145" t="str">
        <x:v>Low-E複層ガラス</x:v>
      </x:c>
      <x:c r="D7" s="145" t="str">
        <x:v>透明/型</x:v>
      </x:c>
      <x:c r="E7" s="145" t="str">
        <x:v>断熱</x:v>
      </x:c>
      <x:c r="F7" s="145" t="str">
        <x:v>RPL_ROOM</x:v>
      </x:c>
      <x:c r="G7" s="145" t="str">
        <x:v>COMPLETE</x:v>
      </x:c>
      <x:c r="H7" s="146" t="str">
        <x:v>EV-020</x:v>
      </x:c>
    </x:row>
    <x:row r="8">
      <x:c r="A8" s="144" t="str">
        <x:v>GL-LOWE-GREEN-HS</x:v>
      </x:c>
      <x:c r="B8" s="145" t="str">
        <x:v>Low-E複層ガラス グリーン（高遮熱仕様）</x:v>
      </x:c>
      <x:c r="C8" s="145" t="str">
        <x:v>Low-E複層ガラス</x:v>
      </x:c>
      <x:c r="D8" s="145" t="str">
        <x:v>透明/型</x:v>
      </x:c>
      <x:c r="E8" s="145" t="str">
        <x:v>高遮熱</x:v>
      </x:c>
      <x:c r="F8" s="145" t="str">
        <x:v>RPL_ROOM</x:v>
      </x:c>
      <x:c r="G8" s="145" t="str">
        <x:v>COMPLETE</x:v>
      </x:c>
      <x:c r="H8" s="146" t="str">
        <x:v>EV-020</x:v>
      </x:c>
    </x:row>
    <x:row r="9">
      <x:c r="A9" s="144" t="str">
        <x:v>GL-SAFETY</x:v>
      </x:c>
      <x:c r="B9" s="145" t="str">
        <x:v>安全合わせ複層ガラス</x:v>
      </x:c>
      <x:c r="C9" s="145" t="str">
        <x:v>追加機能</x:v>
      </x:c>
      <x:c r="D9" s="145" t="str">
        <x:v>30mil/60mil系</x:v>
      </x:c>
      <x:c r="E9" s="145" t="str">
        <x:v>安全</x:v>
      </x:c>
      <x:c r="F9" s="145" t="str">
        <x:v>対象窓種のみ</x:v>
      </x:c>
      <x:c r="G9" s="145" t="str">
        <x:v>COMPLETE</x:v>
      </x:c>
      <x:c r="H9" s="146" t="str">
        <x:v>EV-020</x:v>
      </x:c>
    </x:row>
    <x:row r="10">
      <x:c r="A10" s="144" t="str">
        <x:v>GL-TEMPERED</x:v>
      </x:c>
      <x:c r="B10" s="145" t="str">
        <x:v>強化複層ガラス</x:v>
      </x:c>
      <x:c r="C10" s="145" t="str">
        <x:v>追加機能</x:v>
      </x:c>
      <x:c r="D10" s="145" t="str">
        <x:v>公式構成のみ</x:v>
      </x:c>
      <x:c r="E10" s="145" t="str">
        <x:v>強化</x:v>
      </x:c>
      <x:c r="F10" s="145" t="str">
        <x:v>対象窓種のみ</x:v>
      </x:c>
      <x:c r="G10" s="145" t="str">
        <x:v>COMPLETE</x:v>
      </x:c>
      <x:c r="H10" s="146" t="str">
        <x:v>EV-020</x:v>
      </x:c>
    </x:row>
    <x:row r="11">
      <x:c r="A11" s="147" t="str">
        <x:v>GL-TRIPLE-DHFS</x:v>
      </x:c>
      <x:c r="B11" s="148" t="str">
        <x:v>トリプルガラス</x:v>
      </x:c>
      <x:c r="C11" s="148" t="str">
        <x:v>トリプル</x:v>
      </x:c>
      <x:c r="D11" s="148" t="str">
        <x:v>透明/型等公式設定</x:v>
      </x:c>
      <x:c r="E11" s="148" t="str">
        <x:v>高断熱</x:v>
      </x:c>
      <x:c r="F11" s="148" t="str">
        <x:v>RPL_ROOM_DHFS</x:v>
      </x:c>
      <x:c r="G11" s="148" t="str">
        <x:v>COMPLETE</x:v>
      </x:c>
      <x:c r="H11" s="149" t="str">
        <x:v>EV-014,020</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8" hidden="0" customWidth="1"/>
    <x:col min="2" max="2" width="24" hidden="0" customWidth="1"/>
    <x:col min="3" max="3" width="12" hidden="0" customWidth="1"/>
    <x:col min="4" max="4" width="22" hidden="0" customWidth="1"/>
    <x:col min="5" max="5" width="68" hidden="0" customWidth="1"/>
    <x:col min="6" max="6" width="22" hidden="0" customWidth="1"/>
    <x:col min="7" max="7" width="14" hidden="0" customWidth="1"/>
    <x:col min="8" max="8" width="18" hidden="0" customWidth="1"/>
  </x:cols>
  <x:sheetData>
    <x:row r="1" ht="28" customHeight="1">
      <x:c r="A1" s="127" t="str">
        <x:v>08A_ガラス適用条件｜窓種×ガラス</x:v>
      </x:c>
      <x:c r="B1" s="127"/>
      <x:c r="C1" s="127"/>
      <x:c r="D1" s="127"/>
      <x:c r="E1" s="127"/>
      <x:c r="F1" s="127"/>
      <x:c r="G1" s="127"/>
      <x:c r="H1" s="127"/>
    </x:row>
    <x:row r="3" ht="30" customHeight="1">
      <x:c r="A3" s="141" t="str">
        <x:v>window_type_id</x:v>
      </x:c>
      <x:c r="B3" s="142" t="str">
        <x:v>glass_id</x:v>
      </x:c>
      <x:c r="C3" s="142" t="str">
        <x:v>selectable</x:v>
      </x:c>
      <x:c r="D3" s="142" t="str">
        <x:v>relation_type</x:v>
      </x:c>
      <x:c r="E3" s="142" t="str">
        <x:v>condition</x:v>
      </x:c>
      <x:c r="F3" s="142" t="str">
        <x:v>ui_action</x:v>
      </x:c>
      <x:c r="G3" s="142" t="str">
        <x:v>status</x:v>
      </x:c>
      <x:c r="H3" s="143" t="str">
        <x:v>evidence</x:v>
      </x:c>
    </x:row>
    <x:row r="4">
      <x:c r="A4" s="144" t="str">
        <x:v>RPL_ROOM_SLD</x:v>
      </x:c>
      <x:c r="B4" s="145" t="str">
        <x:v>GL-PG</x:v>
      </x:c>
      <x:c r="C4" s="151" t="b">
        <x:v>1</x:v>
      </x:c>
      <x:c r="D4" s="145" t="str">
        <x:v>STANDARD</x:v>
      </x:c>
      <x:c r="E4" s="145" t="str">
        <x:v>面積/構成制限表に適合すること</x:v>
      </x:c>
      <x:c r="F4" s="145" t="str">
        <x:v>SHOW</x:v>
      </x:c>
      <x:c r="G4" s="145" t="str">
        <x:v>COMPLETE</x:v>
      </x:c>
      <x:c r="H4" s="146" t="str">
        <x:v>EV-020</x:v>
      </x:c>
    </x:row>
    <x:row r="5">
      <x:c r="A5" s="144" t="str">
        <x:v>RPL_ROOM_SLD</x:v>
      </x:c>
      <x:c r="B5" s="145" t="str">
        <x:v>GL-LOWE-CLEAR</x:v>
      </x:c>
      <x:c r="C5" s="151" t="b">
        <x:v>1</x:v>
      </x:c>
      <x:c r="D5" s="145" t="str">
        <x:v>STANDARD</x:v>
      </x:c>
      <x:c r="E5" s="145" t="str">
        <x:v>面積/構成制限表に適合すること</x:v>
      </x:c>
      <x:c r="F5" s="145" t="str">
        <x:v>SHOW</x:v>
      </x:c>
      <x:c r="G5" s="145" t="str">
        <x:v>COMPLETE</x:v>
      </x:c>
      <x:c r="H5" s="146" t="str">
        <x:v>EV-020</x:v>
      </x:c>
    </x:row>
    <x:row r="6">
      <x:c r="A6" s="144" t="str">
        <x:v>RPL_ROOM_SLD</x:v>
      </x:c>
      <x:c r="B6" s="145" t="str">
        <x:v>GL-LOWE-GREEN</x:v>
      </x:c>
      <x:c r="C6" s="151" t="b">
        <x:v>1</x:v>
      </x:c>
      <x:c r="D6" s="145" t="str">
        <x:v>STANDARD</x:v>
      </x:c>
      <x:c r="E6" s="145" t="str">
        <x:v>面積/構成制限表に適合すること</x:v>
      </x:c>
      <x:c r="F6" s="145" t="str">
        <x:v>SHOW</x:v>
      </x:c>
      <x:c r="G6" s="145" t="str">
        <x:v>COMPLETE</x:v>
      </x:c>
      <x:c r="H6" s="146" t="str">
        <x:v>EV-020</x:v>
      </x:c>
    </x:row>
    <x:row r="7">
      <x:c r="A7" s="144" t="str">
        <x:v>RPL_ROOM_SLD</x:v>
      </x:c>
      <x:c r="B7" s="145" t="str">
        <x:v>GL-LOWE-GREEN-HS</x:v>
      </x:c>
      <x:c r="C7" s="151" t="b">
        <x:v>1</x:v>
      </x:c>
      <x:c r="D7" s="145" t="str">
        <x:v>STANDARD</x:v>
      </x:c>
      <x:c r="E7" s="145" t="str">
        <x:v>面積/構成制限表に適合すること</x:v>
      </x:c>
      <x:c r="F7" s="145" t="str">
        <x:v>SHOW</x:v>
      </x:c>
      <x:c r="G7" s="145" t="str">
        <x:v>COMPLETE</x:v>
      </x:c>
      <x:c r="H7" s="146" t="str">
        <x:v>EV-020</x:v>
      </x:c>
    </x:row>
    <x:row r="8">
      <x:c r="A8" s="144" t="str">
        <x:v>RPL_ROOM_VS_OP</x:v>
      </x:c>
      <x:c r="B8" s="145" t="str">
        <x:v>GL-PG</x:v>
      </x:c>
      <x:c r="C8" s="151" t="b">
        <x:v>1</x:v>
      </x:c>
      <x:c r="D8" s="145" t="str">
        <x:v>STANDARD</x:v>
      </x:c>
      <x:c r="E8" s="145" t="str">
        <x:v>面積/構成制限表に適合すること</x:v>
      </x:c>
      <x:c r="F8" s="145" t="str">
        <x:v>SHOW</x:v>
      </x:c>
      <x:c r="G8" s="145" t="str">
        <x:v>COMPLETE</x:v>
      </x:c>
      <x:c r="H8" s="146" t="str">
        <x:v>EV-020</x:v>
      </x:c>
    </x:row>
    <x:row r="9">
      <x:c r="A9" s="144" t="str">
        <x:v>RPL_ROOM_VS_OP</x:v>
      </x:c>
      <x:c r="B9" s="145" t="str">
        <x:v>GL-LOWE-CLEAR</x:v>
      </x:c>
      <x:c r="C9" s="151" t="b">
        <x:v>1</x:v>
      </x:c>
      <x:c r="D9" s="145" t="str">
        <x:v>STANDARD</x:v>
      </x:c>
      <x:c r="E9" s="145" t="str">
        <x:v>面積/構成制限表に適合すること</x:v>
      </x:c>
      <x:c r="F9" s="145" t="str">
        <x:v>SHOW</x:v>
      </x:c>
      <x:c r="G9" s="145" t="str">
        <x:v>COMPLETE</x:v>
      </x:c>
      <x:c r="H9" s="146" t="str">
        <x:v>EV-020</x:v>
      </x:c>
    </x:row>
    <x:row r="10">
      <x:c r="A10" s="144" t="str">
        <x:v>RPL_ROOM_VS_OP</x:v>
      </x:c>
      <x:c r="B10" s="145" t="str">
        <x:v>GL-LOWE-GREEN</x:v>
      </x:c>
      <x:c r="C10" s="151" t="b">
        <x:v>1</x:v>
      </x:c>
      <x:c r="D10" s="145" t="str">
        <x:v>STANDARD</x:v>
      </x:c>
      <x:c r="E10" s="145" t="str">
        <x:v>面積/構成制限表に適合すること</x:v>
      </x:c>
      <x:c r="F10" s="145" t="str">
        <x:v>SHOW</x:v>
      </x:c>
      <x:c r="G10" s="145" t="str">
        <x:v>COMPLETE</x:v>
      </x:c>
      <x:c r="H10" s="146" t="str">
        <x:v>EV-020</x:v>
      </x:c>
    </x:row>
    <x:row r="11">
      <x:c r="A11" s="144" t="str">
        <x:v>RPL_ROOM_VS_OP</x:v>
      </x:c>
      <x:c r="B11" s="145" t="str">
        <x:v>GL-LOWE-GREEN-HS</x:v>
      </x:c>
      <x:c r="C11" s="151" t="b">
        <x:v>1</x:v>
      </x:c>
      <x:c r="D11" s="145" t="str">
        <x:v>STANDARD</x:v>
      </x:c>
      <x:c r="E11" s="145" t="str">
        <x:v>面積/構成制限表に適合すること</x:v>
      </x:c>
      <x:c r="F11" s="145" t="str">
        <x:v>SHOW</x:v>
      </x:c>
      <x:c r="G11" s="145" t="str">
        <x:v>COMPLETE</x:v>
      </x:c>
      <x:c r="H11" s="146" t="str">
        <x:v>EV-020</x:v>
      </x:c>
    </x:row>
    <x:row r="12">
      <x:c r="A12" s="144" t="str">
        <x:v>RPL_ROOM_VS_CAM</x:v>
      </x:c>
      <x:c r="B12" s="145" t="str">
        <x:v>GL-PG</x:v>
      </x:c>
      <x:c r="C12" s="151" t="b">
        <x:v>1</x:v>
      </x:c>
      <x:c r="D12" s="145" t="str">
        <x:v>STANDARD</x:v>
      </x:c>
      <x:c r="E12" s="145" t="str">
        <x:v>面積/構成制限表に適合すること</x:v>
      </x:c>
      <x:c r="F12" s="145" t="str">
        <x:v>SHOW</x:v>
      </x:c>
      <x:c r="G12" s="145" t="str">
        <x:v>COMPLETE</x:v>
      </x:c>
      <x:c r="H12" s="146" t="str">
        <x:v>EV-020</x:v>
      </x:c>
    </x:row>
    <x:row r="13">
      <x:c r="A13" s="144" t="str">
        <x:v>RPL_ROOM_VS_CAM</x:v>
      </x:c>
      <x:c r="B13" s="145" t="str">
        <x:v>GL-LOWE-CLEAR</x:v>
      </x:c>
      <x:c r="C13" s="151" t="b">
        <x:v>1</x:v>
      </x:c>
      <x:c r="D13" s="145" t="str">
        <x:v>STANDARD</x:v>
      </x:c>
      <x:c r="E13" s="145" t="str">
        <x:v>面積/構成制限表に適合すること</x:v>
      </x:c>
      <x:c r="F13" s="145" t="str">
        <x:v>SHOW</x:v>
      </x:c>
      <x:c r="G13" s="145" t="str">
        <x:v>COMPLETE</x:v>
      </x:c>
      <x:c r="H13" s="146" t="str">
        <x:v>EV-020</x:v>
      </x:c>
    </x:row>
    <x:row r="14">
      <x:c r="A14" s="144" t="str">
        <x:v>RPL_ROOM_VS_CAM</x:v>
      </x:c>
      <x:c r="B14" s="145" t="str">
        <x:v>GL-LOWE-GREEN</x:v>
      </x:c>
      <x:c r="C14" s="151" t="b">
        <x:v>1</x:v>
      </x:c>
      <x:c r="D14" s="145" t="str">
        <x:v>STANDARD</x:v>
      </x:c>
      <x:c r="E14" s="145" t="str">
        <x:v>面積/構成制限表に適合すること</x:v>
      </x:c>
      <x:c r="F14" s="145" t="str">
        <x:v>SHOW</x:v>
      </x:c>
      <x:c r="G14" s="145" t="str">
        <x:v>COMPLETE</x:v>
      </x:c>
      <x:c r="H14" s="146" t="str">
        <x:v>EV-020</x:v>
      </x:c>
    </x:row>
    <x:row r="15">
      <x:c r="A15" s="144" t="str">
        <x:v>RPL_ROOM_VS_CAM</x:v>
      </x:c>
      <x:c r="B15" s="145" t="str">
        <x:v>GL-LOWE-GREEN-HS</x:v>
      </x:c>
      <x:c r="C15" s="151" t="b">
        <x:v>1</x:v>
      </x:c>
      <x:c r="D15" s="145" t="str">
        <x:v>STANDARD</x:v>
      </x:c>
      <x:c r="E15" s="145" t="str">
        <x:v>面積/構成制限表に適合すること</x:v>
      </x:c>
      <x:c r="F15" s="145" t="str">
        <x:v>SHOW</x:v>
      </x:c>
      <x:c r="G15" s="145" t="str">
        <x:v>COMPLETE</x:v>
      </x:c>
      <x:c r="H15" s="146" t="str">
        <x:v>EV-020</x:v>
      </x:c>
    </x:row>
    <x:row r="16">
      <x:c r="A16" s="144" t="str">
        <x:v>RPL_ROOM_HS_OP</x:v>
      </x:c>
      <x:c r="B16" s="145" t="str">
        <x:v>GL-PG</x:v>
      </x:c>
      <x:c r="C16" s="151" t="b">
        <x:v>1</x:v>
      </x:c>
      <x:c r="D16" s="145" t="str">
        <x:v>STANDARD</x:v>
      </x:c>
      <x:c r="E16" s="145" t="str">
        <x:v>面積/構成制限表に適合すること</x:v>
      </x:c>
      <x:c r="F16" s="145" t="str">
        <x:v>SHOW</x:v>
      </x:c>
      <x:c r="G16" s="145" t="str">
        <x:v>COMPLETE</x:v>
      </x:c>
      <x:c r="H16" s="146" t="str">
        <x:v>EV-020</x:v>
      </x:c>
    </x:row>
    <x:row r="17">
      <x:c r="A17" s="144" t="str">
        <x:v>RPL_ROOM_HS_OP</x:v>
      </x:c>
      <x:c r="B17" s="145" t="str">
        <x:v>GL-LOWE-CLEAR</x:v>
      </x:c>
      <x:c r="C17" s="151" t="b">
        <x:v>1</x:v>
      </x:c>
      <x:c r="D17" s="145" t="str">
        <x:v>STANDARD</x:v>
      </x:c>
      <x:c r="E17" s="145" t="str">
        <x:v>面積/構成制限表に適合すること</x:v>
      </x:c>
      <x:c r="F17" s="145" t="str">
        <x:v>SHOW</x:v>
      </x:c>
      <x:c r="G17" s="145" t="str">
        <x:v>COMPLETE</x:v>
      </x:c>
      <x:c r="H17" s="146" t="str">
        <x:v>EV-020</x:v>
      </x:c>
    </x:row>
    <x:row r="18">
      <x:c r="A18" s="144" t="str">
        <x:v>RPL_ROOM_HS_OP</x:v>
      </x:c>
      <x:c r="B18" s="145" t="str">
        <x:v>GL-LOWE-GREEN</x:v>
      </x:c>
      <x:c r="C18" s="151" t="b">
        <x:v>1</x:v>
      </x:c>
      <x:c r="D18" s="145" t="str">
        <x:v>STANDARD</x:v>
      </x:c>
      <x:c r="E18" s="145" t="str">
        <x:v>面積/構成制限表に適合すること</x:v>
      </x:c>
      <x:c r="F18" s="145" t="str">
        <x:v>SHOW</x:v>
      </x:c>
      <x:c r="G18" s="145" t="str">
        <x:v>COMPLETE</x:v>
      </x:c>
      <x:c r="H18" s="146" t="str">
        <x:v>EV-020</x:v>
      </x:c>
    </x:row>
    <x:row r="19">
      <x:c r="A19" s="144" t="str">
        <x:v>RPL_ROOM_HS_OP</x:v>
      </x:c>
      <x:c r="B19" s="145" t="str">
        <x:v>GL-LOWE-GREEN-HS</x:v>
      </x:c>
      <x:c r="C19" s="151" t="b">
        <x:v>1</x:v>
      </x:c>
      <x:c r="D19" s="145" t="str">
        <x:v>STANDARD</x:v>
      </x:c>
      <x:c r="E19" s="145" t="str">
        <x:v>面積/構成制限表に適合すること</x:v>
      </x:c>
      <x:c r="F19" s="145" t="str">
        <x:v>SHOW</x:v>
      </x:c>
      <x:c r="G19" s="145" t="str">
        <x:v>COMPLETE</x:v>
      </x:c>
      <x:c r="H19" s="146" t="str">
        <x:v>EV-020</x:v>
      </x:c>
    </x:row>
    <x:row r="20">
      <x:c r="A20" s="144" t="str">
        <x:v>RPL_ROOM_HS_CAM</x:v>
      </x:c>
      <x:c r="B20" s="145" t="str">
        <x:v>GL-PG</x:v>
      </x:c>
      <x:c r="C20" s="151" t="b">
        <x:v>1</x:v>
      </x:c>
      <x:c r="D20" s="145" t="str">
        <x:v>STANDARD</x:v>
      </x:c>
      <x:c r="E20" s="145" t="str">
        <x:v>面積/構成制限表に適合すること</x:v>
      </x:c>
      <x:c r="F20" s="145" t="str">
        <x:v>SHOW</x:v>
      </x:c>
      <x:c r="G20" s="145" t="str">
        <x:v>COMPLETE</x:v>
      </x:c>
      <x:c r="H20" s="146" t="str">
        <x:v>EV-020</x:v>
      </x:c>
    </x:row>
    <x:row r="21">
      <x:c r="A21" s="144" t="str">
        <x:v>RPL_ROOM_HS_CAM</x:v>
      </x:c>
      <x:c r="B21" s="145" t="str">
        <x:v>GL-LOWE-CLEAR</x:v>
      </x:c>
      <x:c r="C21" s="151" t="b">
        <x:v>1</x:v>
      </x:c>
      <x:c r="D21" s="145" t="str">
        <x:v>STANDARD</x:v>
      </x:c>
      <x:c r="E21" s="145" t="str">
        <x:v>面積/構成制限表に適合すること</x:v>
      </x:c>
      <x:c r="F21" s="145" t="str">
        <x:v>SHOW</x:v>
      </x:c>
      <x:c r="G21" s="145" t="str">
        <x:v>COMPLETE</x:v>
      </x:c>
      <x:c r="H21" s="146" t="str">
        <x:v>EV-020</x:v>
      </x:c>
    </x:row>
    <x:row r="22">
      <x:c r="A22" s="144" t="str">
        <x:v>RPL_ROOM_HS_CAM</x:v>
      </x:c>
      <x:c r="B22" s="145" t="str">
        <x:v>GL-LOWE-GREEN</x:v>
      </x:c>
      <x:c r="C22" s="151" t="b">
        <x:v>1</x:v>
      </x:c>
      <x:c r="D22" s="145" t="str">
        <x:v>STANDARD</x:v>
      </x:c>
      <x:c r="E22" s="145" t="str">
        <x:v>面積/構成制限表に適合すること</x:v>
      </x:c>
      <x:c r="F22" s="145" t="str">
        <x:v>SHOW</x:v>
      </x:c>
      <x:c r="G22" s="145" t="str">
        <x:v>COMPLETE</x:v>
      </x:c>
      <x:c r="H22" s="146" t="str">
        <x:v>EV-020</x:v>
      </x:c>
    </x:row>
    <x:row r="23">
      <x:c r="A23" s="144" t="str">
        <x:v>RPL_ROOM_HS_CAM</x:v>
      </x:c>
      <x:c r="B23" s="145" t="str">
        <x:v>GL-LOWE-GREEN-HS</x:v>
      </x:c>
      <x:c r="C23" s="151" t="b">
        <x:v>1</x:v>
      </x:c>
      <x:c r="D23" s="145" t="str">
        <x:v>STANDARD</x:v>
      </x:c>
      <x:c r="E23" s="145" t="str">
        <x:v>面積/構成制限表に適合すること</x:v>
      </x:c>
      <x:c r="F23" s="145" t="str">
        <x:v>SHOW</x:v>
      </x:c>
      <x:c r="G23" s="145" t="str">
        <x:v>COMPLETE</x:v>
      </x:c>
      <x:c r="H23" s="146" t="str">
        <x:v>EV-020</x:v>
      </x:c>
    </x:row>
    <x:row r="24">
      <x:c r="A24" s="144" t="str">
        <x:v>RPL_ROOM_FIX_OUT</x:v>
      </x:c>
      <x:c r="B24" s="145" t="str">
        <x:v>GL-PG</x:v>
      </x:c>
      <x:c r="C24" s="151" t="b">
        <x:v>1</x:v>
      </x:c>
      <x:c r="D24" s="145" t="str">
        <x:v>STANDARD</x:v>
      </x:c>
      <x:c r="E24" s="145" t="str">
        <x:v>面積/構成制限表に適合すること</x:v>
      </x:c>
      <x:c r="F24" s="145" t="str">
        <x:v>SHOW</x:v>
      </x:c>
      <x:c r="G24" s="145" t="str">
        <x:v>COMPLETE</x:v>
      </x:c>
      <x:c r="H24" s="146" t="str">
        <x:v>EV-020</x:v>
      </x:c>
    </x:row>
    <x:row r="25">
      <x:c r="A25" s="144" t="str">
        <x:v>RPL_ROOM_FIX_OUT</x:v>
      </x:c>
      <x:c r="B25" s="145" t="str">
        <x:v>GL-LOWE-CLEAR</x:v>
      </x:c>
      <x:c r="C25" s="151" t="b">
        <x:v>1</x:v>
      </x:c>
      <x:c r="D25" s="145" t="str">
        <x:v>STANDARD</x:v>
      </x:c>
      <x:c r="E25" s="145" t="str">
        <x:v>面積/構成制限表に適合すること</x:v>
      </x:c>
      <x:c r="F25" s="145" t="str">
        <x:v>SHOW</x:v>
      </x:c>
      <x:c r="G25" s="145" t="str">
        <x:v>COMPLETE</x:v>
      </x:c>
      <x:c r="H25" s="146" t="str">
        <x:v>EV-020</x:v>
      </x:c>
    </x:row>
    <x:row r="26">
      <x:c r="A26" s="144" t="str">
        <x:v>RPL_ROOM_FIX_OUT</x:v>
      </x:c>
      <x:c r="B26" s="145" t="str">
        <x:v>GL-LOWE-GREEN</x:v>
      </x:c>
      <x:c r="C26" s="151" t="b">
        <x:v>1</x:v>
      </x:c>
      <x:c r="D26" s="145" t="str">
        <x:v>STANDARD</x:v>
      </x:c>
      <x:c r="E26" s="145" t="str">
        <x:v>面積/構成制限表に適合すること</x:v>
      </x:c>
      <x:c r="F26" s="145" t="str">
        <x:v>SHOW</x:v>
      </x:c>
      <x:c r="G26" s="145" t="str">
        <x:v>COMPLETE</x:v>
      </x:c>
      <x:c r="H26" s="146" t="str">
        <x:v>EV-020</x:v>
      </x:c>
    </x:row>
    <x:row r="27">
      <x:c r="A27" s="144" t="str">
        <x:v>RPL_ROOM_FIX_OUT</x:v>
      </x:c>
      <x:c r="B27" s="145" t="str">
        <x:v>GL-LOWE-GREEN-HS</x:v>
      </x:c>
      <x:c r="C27" s="151" t="b">
        <x:v>1</x:v>
      </x:c>
      <x:c r="D27" s="145" t="str">
        <x:v>STANDARD</x:v>
      </x:c>
      <x:c r="E27" s="145" t="str">
        <x:v>面積/構成制限表に適合すること</x:v>
      </x:c>
      <x:c r="F27" s="145" t="str">
        <x:v>SHOW</x:v>
      </x:c>
      <x:c r="G27" s="145" t="str">
        <x:v>COMPLETE</x:v>
      </x:c>
      <x:c r="H27" s="146" t="str">
        <x:v>EV-020</x:v>
      </x:c>
    </x:row>
    <x:row r="28">
      <x:c r="A28" s="144" t="str">
        <x:v>RPL_ROOM_FIX_IN</x:v>
      </x:c>
      <x:c r="B28" s="145" t="str">
        <x:v>GL-PG</x:v>
      </x:c>
      <x:c r="C28" s="151" t="b">
        <x:v>1</x:v>
      </x:c>
      <x:c r="D28" s="145" t="str">
        <x:v>STANDARD</x:v>
      </x:c>
      <x:c r="E28" s="145" t="str">
        <x:v>面積/構成制限表に適合すること</x:v>
      </x:c>
      <x:c r="F28" s="145" t="str">
        <x:v>SHOW</x:v>
      </x:c>
      <x:c r="G28" s="145" t="str">
        <x:v>COMPLETE</x:v>
      </x:c>
      <x:c r="H28" s="146" t="str">
        <x:v>EV-020</x:v>
      </x:c>
    </x:row>
    <x:row r="29">
      <x:c r="A29" s="144" t="str">
        <x:v>RPL_ROOM_FIX_IN</x:v>
      </x:c>
      <x:c r="B29" s="145" t="str">
        <x:v>GL-LOWE-CLEAR</x:v>
      </x:c>
      <x:c r="C29" s="151" t="b">
        <x:v>1</x:v>
      </x:c>
      <x:c r="D29" s="145" t="str">
        <x:v>STANDARD</x:v>
      </x:c>
      <x:c r="E29" s="145" t="str">
        <x:v>面積/構成制限表に適合すること</x:v>
      </x:c>
      <x:c r="F29" s="145" t="str">
        <x:v>SHOW</x:v>
      </x:c>
      <x:c r="G29" s="145" t="str">
        <x:v>COMPLETE</x:v>
      </x:c>
      <x:c r="H29" s="146" t="str">
        <x:v>EV-020</x:v>
      </x:c>
    </x:row>
    <x:row r="30">
      <x:c r="A30" s="144" t="str">
        <x:v>RPL_ROOM_FIX_IN</x:v>
      </x:c>
      <x:c r="B30" s="145" t="str">
        <x:v>GL-LOWE-GREEN</x:v>
      </x:c>
      <x:c r="C30" s="151" t="b">
        <x:v>1</x:v>
      </x:c>
      <x:c r="D30" s="145" t="str">
        <x:v>STANDARD</x:v>
      </x:c>
      <x:c r="E30" s="145" t="str">
        <x:v>面積/構成制限表に適合すること</x:v>
      </x:c>
      <x:c r="F30" s="145" t="str">
        <x:v>SHOW</x:v>
      </x:c>
      <x:c r="G30" s="145" t="str">
        <x:v>COMPLETE</x:v>
      </x:c>
      <x:c r="H30" s="146" t="str">
        <x:v>EV-020</x:v>
      </x:c>
    </x:row>
    <x:row r="31">
      <x:c r="A31" s="144" t="str">
        <x:v>RPL_ROOM_FIX_IN</x:v>
      </x:c>
      <x:c r="B31" s="145" t="str">
        <x:v>GL-LOWE-GREEN-HS</x:v>
      </x:c>
      <x:c r="C31" s="151" t="b">
        <x:v>1</x:v>
      </x:c>
      <x:c r="D31" s="145" t="str">
        <x:v>STANDARD</x:v>
      </x:c>
      <x:c r="E31" s="145" t="str">
        <x:v>面積/構成制限表に適合すること</x:v>
      </x:c>
      <x:c r="F31" s="145" t="str">
        <x:v>SHOW</x:v>
      </x:c>
      <x:c r="G31" s="145" t="str">
        <x:v>COMPLETE</x:v>
      </x:c>
      <x:c r="H31" s="146" t="str">
        <x:v>EV-020</x:v>
      </x:c>
    </x:row>
    <x:row r="32">
      <x:c r="A32" s="144" t="str">
        <x:v>RPL_ROOM_DHFS</x:v>
      </x:c>
      <x:c r="B32" s="145" t="str">
        <x:v>GL-PG</x:v>
      </x:c>
      <x:c r="C32" s="151" t="b">
        <x:v>1</x:v>
      </x:c>
      <x:c r="D32" s="145" t="str">
        <x:v>STANDARD</x:v>
      </x:c>
      <x:c r="E32" s="145" t="str">
        <x:v>障子重量1.4kg以上13kg以下 + 面積制限</x:v>
      </x:c>
      <x:c r="F32" s="145" t="str">
        <x:v>SHOW_WITH_CHECK</x:v>
      </x:c>
      <x:c r="G32" s="145" t="str">
        <x:v>COMPLETE</x:v>
      </x:c>
      <x:c r="H32" s="146" t="str">
        <x:v>EV-008,020</x:v>
      </x:c>
    </x:row>
    <x:row r="33">
      <x:c r="A33" s="144" t="str">
        <x:v>RPL_ROOM_DHFS</x:v>
      </x:c>
      <x:c r="B33" s="145" t="str">
        <x:v>GL-LOWE-CLEAR</x:v>
      </x:c>
      <x:c r="C33" s="151" t="b">
        <x:v>1</x:v>
      </x:c>
      <x:c r="D33" s="145" t="str">
        <x:v>STANDARD</x:v>
      </x:c>
      <x:c r="E33" s="145" t="str">
        <x:v>障子重量1.4kg以上13kg以下 + 面積制限</x:v>
      </x:c>
      <x:c r="F33" s="145" t="str">
        <x:v>SHOW_WITH_CHECK</x:v>
      </x:c>
      <x:c r="G33" s="145" t="str">
        <x:v>COMPLETE</x:v>
      </x:c>
      <x:c r="H33" s="146" t="str">
        <x:v>EV-008,020</x:v>
      </x:c>
    </x:row>
    <x:row r="34">
      <x:c r="A34" s="144" t="str">
        <x:v>RPL_ROOM_DHFS</x:v>
      </x:c>
      <x:c r="B34" s="145" t="str">
        <x:v>GL-LOWE-GREEN</x:v>
      </x:c>
      <x:c r="C34" s="151" t="b">
        <x:v>1</x:v>
      </x:c>
      <x:c r="D34" s="145" t="str">
        <x:v>STANDARD</x:v>
      </x:c>
      <x:c r="E34" s="145" t="str">
        <x:v>障子重量1.4kg以上13kg以下 + 面積制限</x:v>
      </x:c>
      <x:c r="F34" s="145" t="str">
        <x:v>SHOW_WITH_CHECK</x:v>
      </x:c>
      <x:c r="G34" s="145" t="str">
        <x:v>COMPLETE</x:v>
      </x:c>
      <x:c r="H34" s="146" t="str">
        <x:v>EV-008,020</x:v>
      </x:c>
    </x:row>
    <x:row r="35">
      <x:c r="A35" s="144" t="str">
        <x:v>RPL_ROOM_DHFS</x:v>
      </x:c>
      <x:c r="B35" s="145" t="str">
        <x:v>GL-LOWE-GREEN-HS</x:v>
      </x:c>
      <x:c r="C35" s="151" t="b">
        <x:v>1</x:v>
      </x:c>
      <x:c r="D35" s="145" t="str">
        <x:v>STANDARD</x:v>
      </x:c>
      <x:c r="E35" s="145" t="str">
        <x:v>障子重量1.4kg以上13kg以下 + 面積制限</x:v>
      </x:c>
      <x:c r="F35" s="145" t="str">
        <x:v>SHOW_WITH_CHECK</x:v>
      </x:c>
      <x:c r="G35" s="145" t="str">
        <x:v>COMPLETE</x:v>
      </x:c>
      <x:c r="H35" s="146" t="str">
        <x:v>EV-008,020</x:v>
      </x:c>
    </x:row>
    <x:row r="36">
      <x:c r="A36" s="144" t="str">
        <x:v>RPL_ROOM_DHFS</x:v>
      </x:c>
      <x:c r="B36" s="145" t="str">
        <x:v>GL-TRIPLE-DHFS</x:v>
      </x:c>
      <x:c r="C36" s="151" t="b">
        <x:v>1</x:v>
      </x:c>
      <x:c r="D36" s="145" t="str">
        <x:v>STANDARD</x:v>
      </x:c>
      <x:c r="E36" s="145" t="str">
        <x:v>障子重量1.4kg以上13kg以下 + 面積制限</x:v>
      </x:c>
      <x:c r="F36" s="145" t="str">
        <x:v>SHOW_WITH_CHECK</x:v>
      </x:c>
      <x:c r="G36" s="145" t="str">
        <x:v>COMPLETE</x:v>
      </x:c>
      <x:c r="H36" s="146" t="str">
        <x:v>EV-008,020</x:v>
      </x:c>
    </x:row>
    <x:row r="37">
      <x:c r="A37" s="144" t="str">
        <x:v>RPL_ROOM_SLD</x:v>
      </x:c>
      <x:c r="B37" s="145" t="str">
        <x:v>GL-SAFETY</x:v>
      </x:c>
      <x:c r="C37" s="151" t="b">
        <x:v>1</x:v>
      </x:c>
      <x:c r="D37" s="145" t="str">
        <x:v>OPTIONAL_FUNCTION</x:v>
      </x:c>
      <x:c r="E37" s="145" t="str">
        <x:v>対象窓種/サイズ/網戸条件を公式表で判定</x:v>
      </x:c>
      <x:c r="F37" s="145" t="str">
        <x:v>SHOW_IF_ALLOWED</x:v>
      </x:c>
      <x:c r="G37" s="145" t="str">
        <x:v>COMPLETE</x:v>
      </x:c>
      <x:c r="H37" s="146" t="str">
        <x:v>EV-018,020</x:v>
      </x:c>
    </x:row>
    <x:row r="38">
      <x:c r="A38" s="144" t="str">
        <x:v>RPL_ROOM_VS_OP</x:v>
      </x:c>
      <x:c r="B38" s="145" t="str">
        <x:v>GL-SAFETY</x:v>
      </x:c>
      <x:c r="C38" s="151" t="b">
        <x:v>1</x:v>
      </x:c>
      <x:c r="D38" s="145" t="str">
        <x:v>OPTIONAL_FUNCTION</x:v>
      </x:c>
      <x:c r="E38" s="145" t="str">
        <x:v>対象窓種/サイズ/網戸条件を公式表で判定</x:v>
      </x:c>
      <x:c r="F38" s="145" t="str">
        <x:v>SHOW_IF_ALLOWED</x:v>
      </x:c>
      <x:c r="G38" s="145" t="str">
        <x:v>COMPLETE</x:v>
      </x:c>
      <x:c r="H38" s="146" t="str">
        <x:v>EV-018,020</x:v>
      </x:c>
    </x:row>
    <x:row r="39">
      <x:c r="A39" s="144" t="str">
        <x:v>RPL_ROOM_VS_CAM</x:v>
      </x:c>
      <x:c r="B39" s="145" t="str">
        <x:v>GL-SAFETY</x:v>
      </x:c>
      <x:c r="C39" s="151" t="b">
        <x:v>1</x:v>
      </x:c>
      <x:c r="D39" s="145" t="str">
        <x:v>OPTIONAL_FUNCTION</x:v>
      </x:c>
      <x:c r="E39" s="145" t="str">
        <x:v>対象窓種/サイズ/網戸条件を公式表で判定</x:v>
      </x:c>
      <x:c r="F39" s="145" t="str">
        <x:v>SHOW_IF_ALLOWED</x:v>
      </x:c>
      <x:c r="G39" s="145" t="str">
        <x:v>COMPLETE</x:v>
      </x:c>
      <x:c r="H39" s="146" t="str">
        <x:v>EV-018,020</x:v>
      </x:c>
    </x:row>
    <x:row r="40">
      <x:c r="A40" s="144" t="str">
        <x:v>RPL_ROOM_HS_OP</x:v>
      </x:c>
      <x:c r="B40" s="145" t="str">
        <x:v>GL-SAFETY</x:v>
      </x:c>
      <x:c r="C40" s="151" t="b">
        <x:v>1</x:v>
      </x:c>
      <x:c r="D40" s="145" t="str">
        <x:v>OPTIONAL_FUNCTION</x:v>
      </x:c>
      <x:c r="E40" s="145" t="str">
        <x:v>対象窓種/サイズ/網戸条件を公式表で判定</x:v>
      </x:c>
      <x:c r="F40" s="145" t="str">
        <x:v>SHOW_IF_ALLOWED</x:v>
      </x:c>
      <x:c r="G40" s="145" t="str">
        <x:v>COMPLETE</x:v>
      </x:c>
      <x:c r="H40" s="146" t="str">
        <x:v>EV-018,020</x:v>
      </x:c>
    </x:row>
    <x:row r="41">
      <x:c r="A41" s="144" t="str">
        <x:v>RPL_ROOM_HS_CAM</x:v>
      </x:c>
      <x:c r="B41" s="145" t="str">
        <x:v>GL-SAFETY</x:v>
      </x:c>
      <x:c r="C41" s="151" t="b">
        <x:v>1</x:v>
      </x:c>
      <x:c r="D41" s="145" t="str">
        <x:v>OPTIONAL_FUNCTION</x:v>
      </x:c>
      <x:c r="E41" s="145" t="str">
        <x:v>対象窓種/サイズ/網戸条件を公式表で判定</x:v>
      </x:c>
      <x:c r="F41" s="145" t="str">
        <x:v>SHOW_IF_ALLOWED</x:v>
      </x:c>
      <x:c r="G41" s="145" t="str">
        <x:v>COMPLETE</x:v>
      </x:c>
      <x:c r="H41" s="146" t="str">
        <x:v>EV-018,020</x:v>
      </x:c>
    </x:row>
    <x:row r="42">
      <x:c r="A42" s="147" t="str">
        <x:v>RPL_ROOM_DHFS</x:v>
      </x:c>
      <x:c r="B42" s="148" t="str">
        <x:v>GL-SAFETY</x:v>
      </x:c>
      <x:c r="C42" s="152" t="b">
        <x:v>1</x:v>
      </x:c>
      <x:c r="D42" s="148" t="str">
        <x:v>OPTIONAL_FUNCTION</x:v>
      </x:c>
      <x:c r="E42" s="148" t="str">
        <x:v>対象窓種/サイズ/網戸条件を公式表で判定</x:v>
      </x:c>
      <x:c r="F42" s="148" t="str">
        <x:v>SHOW_IF_ALLOWED</x:v>
      </x:c>
      <x:c r="G42" s="148" t="str">
        <x:v>COMPLETE</x:v>
      </x:c>
      <x:c r="H42" s="149" t="str">
        <x:v>EV-018,020</x:v>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46" hidden="0" customWidth="1"/>
    <x:col min="3" max="3" width="22" hidden="0" customWidth="1"/>
    <x:col min="4" max="4" width="30" hidden="0" customWidth="1"/>
    <x:col min="5" max="5" width="18" hidden="0" customWidth="1"/>
    <x:col min="6" max="6" width="18" hidden="0" customWidth="1"/>
    <x:col min="7" max="7" width="14" hidden="0" customWidth="1"/>
    <x:col min="8" max="8" width="16" hidden="0" customWidth="1"/>
  </x:cols>
  <x:sheetData>
    <x:row r="1" ht="28" customHeight="1">
      <x:c r="A1" s="127" t="str">
        <x:v>09_その他OP｜居室仕様 主要選択肢</x:v>
      </x:c>
      <x:c r="B1" s="127"/>
      <x:c r="C1" s="127"/>
      <x:c r="D1" s="127"/>
      <x:c r="E1" s="127"/>
      <x:c r="F1" s="127"/>
      <x:c r="G1" s="4"/>
      <x:c r="H1" s="4"/>
    </x:row>
    <x:row r="3" ht="30" customHeight="1">
      <x:c r="A3" s="141" t="str">
        <x:v>option_id</x:v>
      </x:c>
      <x:c r="B3" s="142" t="str">
        <x:v>公式名称</x:v>
      </x:c>
      <x:c r="C3" s="142" t="str">
        <x:v>分類</x:v>
      </x:c>
      <x:c r="D3" s="142" t="str">
        <x:v>selection_role</x:v>
      </x:c>
      <x:c r="E3" s="142" t="str">
        <x:v>status</x:v>
      </x:c>
      <x:c r="F3" s="143" t="str">
        <x:v>evidence</x:v>
      </x:c>
      <x:c r="G3" s="33"/>
      <x:c r="H3" s="34"/>
    </x:row>
    <x:row r="4">
      <x:c r="A4" s="144" t="str">
        <x:v>OP-ANGLE-COVER-CUT</x:v>
      </x:c>
      <x:c r="B4" s="145" t="str">
        <x:v>樹脂アングルカバー（見切材付）</x:v>
      </x:c>
      <x:c r="C4" s="145" t="str">
        <x:v>室内部材</x:v>
      </x:c>
      <x:c r="D4" s="145" t="str">
        <x:v>選択</x:v>
      </x:c>
      <x:c r="E4" s="145" t="str">
        <x:v>COMPLETE</x:v>
      </x:c>
      <x:c r="F4" s="146" t="str">
        <x:v>EV-018</x:v>
      </x:c>
      <x:c r="G4" s="36"/>
      <x:c r="H4" s="37"/>
    </x:row>
    <x:row r="5">
      <x:c r="A5" s="144" t="str">
        <x:v>OP-ANGLE-COVER-NOCUT</x:v>
      </x:c>
      <x:c r="B5" s="145" t="str">
        <x:v>樹脂アングルカバー（見切材無）</x:v>
      </x:c>
      <x:c r="C5" s="145" t="str">
        <x:v>室内部材</x:v>
      </x:c>
      <x:c r="D5" s="145" t="str">
        <x:v>選択</x:v>
      </x:c>
      <x:c r="E5" s="145" t="str">
        <x:v>COMPLETE</x:v>
      </x:c>
      <x:c r="F5" s="146" t="str">
        <x:v>EV-018</x:v>
      </x:c>
      <x:c r="G5" s="36"/>
      <x:c r="H5" s="37"/>
    </x:row>
    <x:row r="6">
      <x:c r="A6" s="144" t="str">
        <x:v>OP-ANGLE-COVER-TERRACE</x:v>
      </x:c>
      <x:c r="B6" s="145" t="str">
        <x:v>樹脂アングルカバーテラス用（見切材付）</x:v>
      </x:c>
      <x:c r="C6" s="145" t="str">
        <x:v>室内部材</x:v>
      </x:c>
      <x:c r="D6" s="145" t="str">
        <x:v>選択</x:v>
      </x:c>
      <x:c r="E6" s="145" t="str">
        <x:v>COMPLETE</x:v>
      </x:c>
      <x:c r="F6" s="146" t="str">
        <x:v>EV-018</x:v>
      </x:c>
      <x:c r="G6" s="36"/>
      <x:c r="H6" s="37"/>
    </x:row>
    <x:row r="7">
      <x:c r="A7" s="144" t="str">
        <x:v>OP-INTERIOR-RESIN-COVER</x:v>
      </x:c>
      <x:c r="B7" s="145" t="str">
        <x:v>室内樹脂カバー</x:v>
      </x:c>
      <x:c r="C7" s="145" t="str">
        <x:v>室内部材</x:v>
      </x:c>
      <x:c r="D7" s="145" t="str">
        <x:v>選択</x:v>
      </x:c>
      <x:c r="E7" s="145" t="str">
        <x:v>COMPLETE</x:v>
      </x:c>
      <x:c r="F7" s="146" t="str">
        <x:v>EV-018</x:v>
      </x:c>
      <x:c r="G7" s="36"/>
      <x:c r="H7" s="37"/>
    </x:row>
    <x:row r="8">
      <x:c r="A8" s="144" t="str">
        <x:v>OP-SMART-CRESCENT</x:v>
      </x:c>
      <x:c r="B8" s="145" t="str">
        <x:v>スマートクレセント</x:v>
      </x:c>
      <x:c r="C8" s="145" t="str">
        <x:v>施錠</x:v>
      </x:c>
      <x:c r="D8" s="145" t="str">
        <x:v>選択</x:v>
      </x:c>
      <x:c r="E8" s="145" t="str">
        <x:v>COMPLETE</x:v>
      </x:c>
      <x:c r="F8" s="146" t="str">
        <x:v>EV-018</x:v>
      </x:c>
      <x:c r="G8" s="36"/>
      <x:c r="H8" s="37"/>
    </x:row>
    <x:row r="9">
      <x:c r="A9" s="144" t="str">
        <x:v>OP-SMALL-OPEN-STOP</x:v>
      </x:c>
      <x:c r="B9" s="145" t="str">
        <x:v>小開口ストッパー</x:v>
      </x:c>
      <x:c r="C9" s="145" t="str">
        <x:v>開口制限</x:v>
      </x:c>
      <x:c r="D9" s="145" t="str">
        <x:v>選択</x:v>
      </x:c>
      <x:c r="E9" s="145" t="str">
        <x:v>COMPLETE</x:v>
      </x:c>
      <x:c r="F9" s="146" t="str">
        <x:v>EV-018</x:v>
      </x:c>
      <x:c r="G9" s="36"/>
      <x:c r="H9" s="37"/>
    </x:row>
    <x:row r="10">
      <x:c r="A10" s="144" t="str">
        <x:v>OP-SMALL-OPEN-ARM</x:v>
      </x:c>
      <x:c r="B10" s="145" t="str">
        <x:v>小開口アーム</x:v>
      </x:c>
      <x:c r="C10" s="145" t="str">
        <x:v>開口制限</x:v>
      </x:c>
      <x:c r="D10" s="145" t="str">
        <x:v>選択</x:v>
      </x:c>
      <x:c r="E10" s="145" t="str">
        <x:v>COMPLETE</x:v>
      </x:c>
      <x:c r="F10" s="146" t="str">
        <x:v>EV-018</x:v>
      </x:c>
      <x:c r="G10" s="36"/>
      <x:c r="H10" s="37"/>
    </x:row>
    <x:row r="11">
      <x:c r="A11" s="144" t="str">
        <x:v>OP-SMALL-OPEN-ARM-F</x:v>
      </x:c>
      <x:c r="B11" s="145" t="str">
        <x:v>小開口アーム（固定タイプ）</x:v>
      </x:c>
      <x:c r="C11" s="145" t="str">
        <x:v>開口制限</x:v>
      </x:c>
      <x:c r="D11" s="145" t="str">
        <x:v>選択</x:v>
      </x:c>
      <x:c r="E11" s="145" t="str">
        <x:v>COMPLETE</x:v>
      </x:c>
      <x:c r="F11" s="146" t="str">
        <x:v>EV-018</x:v>
      </x:c>
      <x:c r="G11" s="36"/>
      <x:c r="H11" s="37"/>
    </x:row>
    <x:row r="12">
      <x:c r="A12" s="144" t="str">
        <x:v>OP-SCREEN-GROOVE-COVER-FIX</x:v>
      </x:c>
      <x:c r="B12" s="145" t="str">
        <x:v>固定式網戸溝カバー</x:v>
      </x:c>
      <x:c r="C12" s="145" t="str">
        <x:v>網戸関連</x:v>
      </x:c>
      <x:c r="D12" s="145" t="str">
        <x:v>条件必須</x:v>
      </x:c>
      <x:c r="E12" s="145" t="str">
        <x:v>COMPLETE</x:v>
      </x:c>
      <x:c r="F12" s="146" t="str">
        <x:v>EV-018</x:v>
      </x:c>
      <x:c r="G12" s="36"/>
      <x:c r="H12" s="37"/>
    </x:row>
    <x:row r="13">
      <x:c r="A13" s="144" t="str">
        <x:v>OP-SCREEN-GROOVE-COVER-MOV</x:v>
      </x:c>
      <x:c r="B13" s="145" t="str">
        <x:v>可動式網戸溝カバー</x:v>
      </x:c>
      <x:c r="C13" s="145" t="str">
        <x:v>網戸関連</x:v>
      </x:c>
      <x:c r="D13" s="145" t="str">
        <x:v>条件必須</x:v>
      </x:c>
      <x:c r="E13" s="145" t="str">
        <x:v>COMPLETE</x:v>
      </x:c>
      <x:c r="F13" s="146" t="str">
        <x:v>EV-018</x:v>
      </x:c>
      <x:c r="G13" s="36"/>
      <x:c r="H13" s="37"/>
    </x:row>
    <x:row r="14">
      <x:c r="A14" s="144" t="str">
        <x:v>OP-RETRO-BEAD</x:v>
      </x:c>
      <x:c r="B14" s="145" t="str">
        <x:v>後付ビード</x:v>
      </x:c>
      <x:c r="C14" s="145" t="str">
        <x:v>ガラス/施工</x:v>
      </x:c>
      <x:c r="D14" s="145" t="str">
        <x:v>条件選択</x:v>
      </x:c>
      <x:c r="E14" s="145" t="str">
        <x:v>COMPLETE</x:v>
      </x:c>
      <x:c r="F14" s="146" t="str">
        <x:v>EV-018</x:v>
      </x:c>
      <x:c r="G14" s="39"/>
      <x:c r="H14" s="40"/>
    </x:row>
    <x:row r="15">
      <x:c r="A15" s="144" t="str">
        <x:v>OP-LARGE-HANDLE</x:v>
      </x:c>
      <x:c r="B15" s="145" t="str">
        <x:v>大型把手</x:v>
      </x:c>
      <x:c r="C15" s="145" t="str">
        <x:v>把手</x:v>
      </x:c>
      <x:c r="D15" s="145" t="str">
        <x:v>選択</x:v>
      </x:c>
      <x:c r="E15" s="145" t="str">
        <x:v>COMPLETE</x:v>
      </x:c>
      <x:c r="F15" s="146" t="str">
        <x:v>EV-018</x:v>
      </x:c>
    </x:row>
    <x:row r="16">
      <x:c r="A16" s="144" t="str">
        <x:v>OP-ASSIST-HANDLE</x:v>
      </x:c>
      <x:c r="B16" s="145" t="str">
        <x:v>アシスト把手</x:v>
      </x:c>
      <x:c r="C16" s="145" t="str">
        <x:v>把手</x:v>
      </x:c>
      <x:c r="D16" s="145" t="str">
        <x:v>居室EW専用のため居室仕様では非表示</x:v>
      </x:c>
      <x:c r="E16" s="145" t="str">
        <x:v>NOT_APPLICABLE</x:v>
      </x:c>
      <x:c r="F16" s="146" t="str">
        <x:v>EV-018</x:v>
      </x:c>
    </x:row>
    <x:row r="17">
      <x:c r="A17" s="147" t="str">
        <x:v>OP-DEPTH-EXTENSION</x:v>
      </x:c>
      <x:c r="B17" s="148" t="str">
        <x:v>見込みふかし部材</x:v>
      </x:c>
      <x:c r="C17" s="148" t="str">
        <x:v>室内部材</x:v>
      </x:c>
      <x:c r="D17" s="148" t="str">
        <x:v>選択</x:v>
      </x:c>
      <x:c r="E17" s="148" t="str">
        <x:v>COMPLETE</x:v>
      </x:c>
      <x:c r="F17" s="149" t="str">
        <x:v>EV-021</x:v>
      </x:c>
    </x:row>
  </x:sheetData>
  <x:mergeCells>
    <x:mergeCell ref="A1:H1"/>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30" hidden="0" customWidth="1"/>
    <x:col min="3" max="3" width="40" hidden="0" customWidth="1"/>
    <x:col min="4" max="4" width="18" hidden="0" customWidth="1"/>
    <x:col min="5" max="5" width="40" hidden="0" customWidth="1"/>
    <x:col min="6" max="6" width="64" hidden="0" customWidth="1"/>
    <x:col min="7" max="7" width="14" hidden="0" customWidth="1"/>
    <x:col min="8" max="8" width="18" hidden="0" customWidth="1"/>
  </x:cols>
  <x:sheetData>
    <x:row r="1" ht="28" customHeight="1">
      <x:c r="A1" s="127" t="str">
        <x:v>09A_OP依存関係｜機械判定</x:v>
      </x:c>
      <x:c r="B1" s="127"/>
      <x:c r="C1" s="127"/>
      <x:c r="D1" s="127"/>
      <x:c r="E1" s="127"/>
      <x:c r="F1" s="127"/>
      <x:c r="G1" s="127"/>
      <x:c r="H1" s="127"/>
    </x:row>
    <x:row r="3" ht="30" customHeight="1">
      <x:c r="A3" s="141" t="str">
        <x:v>dependency_id</x:v>
      </x:c>
      <x:c r="B3" s="142" t="str">
        <x:v>option_id</x:v>
      </x:c>
      <x:c r="C3" s="142" t="str">
        <x:v>target_window</x:v>
      </x:c>
      <x:c r="D3" s="142" t="str">
        <x:v>relation</x:v>
      </x:c>
      <x:c r="E3" s="142" t="str">
        <x:v>condition/value</x:v>
      </x:c>
      <x:c r="F3" s="142" t="str">
        <x:v>action_note</x:v>
      </x:c>
      <x:c r="G3" s="142" t="str">
        <x:v>status</x:v>
      </x:c>
      <x:c r="H3" s="143" t="str">
        <x:v>evidence</x:v>
      </x:c>
    </x:row>
    <x:row r="4">
      <x:c r="A4" s="144" t="str">
        <x:v>OD-001</x:v>
      </x:c>
      <x:c r="B4" s="145" t="str">
        <x:v>OP-LARGE-HANDLE</x:v>
      </x:c>
      <x:c r="C4" s="145" t="str">
        <x:v>RPL_ROOM_SLD</x:v>
      </x:c>
      <x:c r="D4" s="145" t="str">
        <x:v>REQUIRES</x:v>
      </x:c>
      <x:c r="E4" s="145" t="str">
        <x:v>sash_configuration=把手障子</x:v>
      </x:c>
      <x:c r="F4" s="145" t="str">
        <x:v>把手障子のみ取付可</x:v>
      </x:c>
      <x:c r="G4" s="145" t="str">
        <x:v>COMPLETE</x:v>
      </x:c>
      <x:c r="H4" s="146" t="str">
        <x:v>EV-018</x:v>
      </x:c>
    </x:row>
    <x:row r="5">
      <x:c r="A5" s="144" t="str">
        <x:v>OD-002</x:v>
      </x:c>
      <x:c r="B5" s="145" t="str">
        <x:v>OP-SMALL-OPEN-STOP</x:v>
      </x:c>
      <x:c r="C5" s="145" t="str">
        <x:v>RPL_ROOM_SLD</x:v>
      </x:c>
      <x:c r="D5" s="145" t="str">
        <x:v>PROHIBITS</x:v>
      </x:c>
      <x:c r="E5" s="145" t="str">
        <x:v>panel_configuration=4枚建</x:v>
      </x:c>
      <x:c r="F5" s="145" t="str">
        <x:v>4枚建は取付不可</x:v>
      </x:c>
      <x:c r="G5" s="145" t="str">
        <x:v>COMPLETE</x:v>
      </x:c>
      <x:c r="H5" s="146" t="str">
        <x:v>EV-018</x:v>
      </x:c>
    </x:row>
    <x:row r="6">
      <x:c r="A6" s="144" t="str">
        <x:v>OD-003</x:v>
      </x:c>
      <x:c r="B6" s="145" t="str">
        <x:v>OP-SMALL-OPEN-STOP</x:v>
      </x:c>
      <x:c r="C6" s="145" t="str">
        <x:v>RPL_ROOM_SLD</x:v>
      </x:c>
      <x:c r="D6" s="145" t="str">
        <x:v>REQUIRES</x:v>
      </x:c>
      <x:c r="E6" s="145" t="str">
        <x:v>専用クレセント</x:v>
      </x:c>
      <x:c r="F6" s="145" t="str">
        <x:v>標準クレセント不可</x:v>
      </x:c>
      <x:c r="G6" s="145" t="str">
        <x:v>COMPLETE</x:v>
      </x:c>
      <x:c r="H6" s="146" t="str">
        <x:v>EV-018</x:v>
      </x:c>
    </x:row>
    <x:row r="7">
      <x:c r="A7" s="144" t="str">
        <x:v>OD-004</x:v>
      </x:c>
      <x:c r="B7" s="145" t="str">
        <x:v>OP-SMALL-OPEN-STOP</x:v>
      </x:c>
      <x:c r="C7" s="145" t="str">
        <x:v>RPL_ROOM_SLD</x:v>
      </x:c>
      <x:c r="D7" s="145" t="str">
        <x:v>INCOMPATIBLE</x:v>
      </x:c>
      <x:c r="E7" s="145" t="str">
        <x:v>OP-SMART-CRESCENT</x:v>
      </x:c>
      <x:c r="F7" s="145" t="str">
        <x:v>併用不可</x:v>
      </x:c>
      <x:c r="G7" s="145" t="str">
        <x:v>COMPLETE</x:v>
      </x:c>
      <x:c r="H7" s="146" t="str">
        <x:v>EV-018</x:v>
      </x:c>
    </x:row>
    <x:row r="8">
      <x:c r="A8" s="144" t="str">
        <x:v>OD-005</x:v>
      </x:c>
      <x:c r="B8" s="145" t="str">
        <x:v>OP-SMALL-OPEN-ARM</x:v>
      </x:c>
      <x:c r="C8" s="145" t="str">
        <x:v>RPL_ROOM_VS_OP</x:v>
      </x:c>
      <x:c r="D8" s="145" t="str">
        <x:v>MIN_HD</x:v>
      </x:c>
      <x:c r="E8" s="145" t="str">
        <x:v>716</x:v>
      </x:c>
      <x:c r="F8" s="145" t="str">
        <x:v>出来寸HD&lt;716は取付不可</x:v>
      </x:c>
      <x:c r="G8" s="145" t="str">
        <x:v>COMPLETE</x:v>
      </x:c>
      <x:c r="H8" s="146" t="str">
        <x:v>EV-018</x:v>
      </x:c>
    </x:row>
    <x:row r="9">
      <x:c r="A9" s="144" t="str">
        <x:v>OD-006</x:v>
      </x:c>
      <x:c r="B9" s="145" t="str">
        <x:v>OP-SMALL-OPEN-ARM-F</x:v>
      </x:c>
      <x:c r="C9" s="145" t="str">
        <x:v>RPL_ROOM_VS_OP</x:v>
      </x:c>
      <x:c r="D9" s="145" t="str">
        <x:v>MIN_HD</x:v>
      </x:c>
      <x:c r="E9" s="145" t="str">
        <x:v>716</x:v>
      </x:c>
      <x:c r="F9" s="145" t="str">
        <x:v>出来寸HD&lt;716は取付不可</x:v>
      </x:c>
      <x:c r="G9" s="145" t="str">
        <x:v>COMPLETE</x:v>
      </x:c>
      <x:c r="H9" s="146" t="str">
        <x:v>EV-018</x:v>
      </x:c>
    </x:row>
    <x:row r="10">
      <x:c r="A10" s="144" t="str">
        <x:v>OD-007</x:v>
      </x:c>
      <x:c r="B10" s="145" t="str">
        <x:v>OP-INTERIOR-RESIN-COVER</x:v>
      </x:c>
      <x:c r="C10" s="145" t="str">
        <x:v>ANY</x:v>
      </x:c>
      <x:c r="D10" s="145" t="str">
        <x:v>INCOMPATIBLE</x:v>
      </x:c>
      <x:c r="E10" s="145" t="str">
        <x:v>OP-COVER-CASING</x:v>
      </x:c>
      <x:c r="F10" s="145" t="str">
        <x:v>室内樹脂カバーとカバー用ケーシング併用不可</x:v>
      </x:c>
      <x:c r="G10" s="145" t="str">
        <x:v>COMPLETE</x:v>
      </x:c>
      <x:c r="H10" s="146" t="str">
        <x:v>EV-018</x:v>
      </x:c>
    </x:row>
    <x:row r="11">
      <x:c r="A11" s="144" t="str">
        <x:v>OD-008</x:v>
      </x:c>
      <x:c r="B11" s="145" t="str">
        <x:v>OP-DEPTH-EXTENSION</x:v>
      </x:c>
      <x:c r="C11" s="145" t="str">
        <x:v>RPL_ROOM_SLD</x:v>
      </x:c>
      <x:c r="D11" s="145" t="str">
        <x:v>MAX_HD</x:v>
      </x:c>
      <x:c r="E11" s="145" t="str">
        <x:v>2059</x:v>
      </x:c>
      <x:c r="F11" s="145" t="str">
        <x:v>引違い窓でHD&gt;2059は取付不可</x:v>
      </x:c>
      <x:c r="G11" s="145" t="str">
        <x:v>COMPLETE</x:v>
      </x:c>
      <x:c r="H11" s="146" t="str">
        <x:v>EV-021</x:v>
      </x:c>
    </x:row>
    <x:row r="12">
      <x:c r="A12" s="144" t="str">
        <x:v>OD-009</x:v>
      </x:c>
      <x:c r="B12" s="145" t="str">
        <x:v>OP-DEPTH-EXTENSION</x:v>
      </x:c>
      <x:c r="C12" s="145" t="str">
        <x:v>RPL_ROOM_SLD</x:v>
      </x:c>
      <x:c r="D12" s="145" t="str">
        <x:v>INCOMPATIBLE</x:v>
      </x:c>
      <x:c r="E12" s="145" t="str">
        <x:v>サイド化粧カバー</x:v>
      </x:c>
      <x:c r="F12" s="145" t="str">
        <x:v>併用不可</x:v>
      </x:c>
      <x:c r="G12" s="145" t="str">
        <x:v>COMPLETE</x:v>
      </x:c>
      <x:c r="H12" s="146" t="str">
        <x:v>EV-018,021</x:v>
      </x:c>
    </x:row>
    <x:row r="13">
      <x:c r="A13" s="144" t="str">
        <x:v>OD-010</x:v>
      </x:c>
      <x:c r="B13" s="145" t="str">
        <x:v>OP-DEPTH-EXTENSION</x:v>
      </x:c>
      <x:c r="C13" s="145" t="str">
        <x:v>RPL_ROOM_SLD</x:v>
      </x:c>
      <x:c r="D13" s="145" t="str">
        <x:v>INCOMPATIBLE</x:v>
      </x:c>
      <x:c r="E13" s="145" t="str">
        <x:v>アングルカバーテラス用/見切材付</x:v>
      </x:c>
      <x:c r="F13" s="145" t="str">
        <x:v>併用不可</x:v>
      </x:c>
      <x:c r="G13" s="145" t="str">
        <x:v>COMPLETE</x:v>
      </x:c>
      <x:c r="H13" s="146" t="str">
        <x:v>EV-018,021</x:v>
      </x:c>
    </x:row>
    <x:row r="14">
      <x:c r="A14" s="144" t="str">
        <x:v>OD-011</x:v>
      </x:c>
      <x:c r="B14" s="145" t="str">
        <x:v>OP-SCREEN-GROOVE-COVER-FIX</x:v>
      </x:c>
      <x:c r="C14" s="145" t="str">
        <x:v>RPL_ROOM_VS_OP/RPL_ROOM_HS_OP</x:v>
      </x:c>
      <x:c r="D14" s="145" t="str">
        <x:v>REQUIRED_IF</x:v>
      </x:c>
      <x:c r="E14" s="145" t="str">
        <x:v>固定式網戸=なし</x:v>
      </x:c>
      <x:c r="F14" s="145" t="str">
        <x:v>固定式網戸を使わない場合に必須</x:v>
      </x:c>
      <x:c r="G14" s="145" t="str">
        <x:v>COMPLETE</x:v>
      </x:c>
      <x:c r="H14" s="146" t="str">
        <x:v>EV-018</x:v>
      </x:c>
    </x:row>
    <x:row r="15">
      <x:c r="A15" s="147" t="str">
        <x:v>OD-012</x:v>
      </x:c>
      <x:c r="B15" s="148" t="str">
        <x:v>OP-SCREEN-GROOVE-COVER-MOV</x:v>
      </x:c>
      <x:c r="C15" s="148" t="str">
        <x:v>RPL_ROOM_VS_CAM/RPL_ROOM_HS_CAM</x:v>
      </x:c>
      <x:c r="D15" s="148" t="str">
        <x:v>REQUIRED_IF</x:v>
      </x:c>
      <x:c r="E15" s="148" t="str">
        <x:v>可動式網戸=なし</x:v>
      </x:c>
      <x:c r="F15" s="148" t="str">
        <x:v>対象品種で網戸を使わない場合の溝カバー</x:v>
      </x:c>
      <x:c r="G15" s="148" t="str">
        <x:v>COMPLETE</x:v>
      </x:c>
      <x:c r="H15" s="149" t="str">
        <x:v>EV-018</x:v>
      </x:c>
    </x:row>
  </x:sheetData>
  <x:mergeCells>
    <x:mergeCell ref="A1:H1"/>
  </x:mergeCells>
  <x:pageMargins left="0.7" right="0.7" top="0.75" bottom="0.75" header="0.3" footer="0.3"/>
</x:worksheet>
</file>

<file path=xl/worksheets/sheet22.xml><?xml version="1.0" encoding="utf-8"?>
<x:worksheet xmlns:x="http://schemas.openxmlformats.org/spreadsheetml/2006/main">
  <x:sheetFormatPr defaultRowHeight="15"/>
  <x:cols>
    <x:col min="1" max="1" width="20" hidden="0" customWidth="1"/>
    <x:col min="2" max="2" width="24" hidden="0" customWidth="1"/>
    <x:col min="3" max="3" width="34" hidden="0" customWidth="1"/>
    <x:col min="4" max="4" width="22" hidden="0" customWidth="1"/>
    <x:col min="5" max="5" width="72" hidden="0" customWidth="1"/>
    <x:col min="6" max="6" width="14" hidden="0" customWidth="1"/>
    <x:col min="7" max="7" width="16" hidden="0" customWidth="1"/>
  </x:cols>
  <x:sheetData>
    <x:row r="1" ht="28" customHeight="1">
      <x:c r="A1" s="4" t="str">
        <x:v>10_適用条件｜商品選択UIとは分離</x:v>
      </x:c>
      <x:c r="B1" s="4"/>
      <x:c r="C1" s="4"/>
      <x:c r="D1" s="4"/>
      <x:c r="E1" s="4"/>
      <x:c r="F1" s="4"/>
      <x:c r="G1" s="4"/>
    </x:row>
    <x:row r="3" ht="30" customHeight="1">
      <x:c r="A3" s="32" t="str">
        <x:v>rule_id</x:v>
      </x:c>
      <x:c r="B3" s="33" t="str">
        <x:v>condition_type</x:v>
      </x:c>
      <x:c r="C3" s="33" t="str">
        <x:v>value</x:v>
      </x:c>
      <x:c r="D3" s="33" t="str">
        <x:v>result</x:v>
      </x:c>
      <x:c r="E3" s="33" t="str">
        <x:v>condition_note</x:v>
      </x:c>
      <x:c r="F3" s="33" t="str">
        <x:v>status</x:v>
      </x:c>
      <x:c r="G3" s="34" t="str">
        <x:v>evidence</x:v>
      </x:c>
    </x:row>
    <x:row r="4">
      <x:c r="A4" s="35" t="str">
        <x:v>AP-STRUCT-1</x:v>
      </x:c>
      <x:c r="B4" s="36" t="str">
        <x:v>building_structure</x:v>
      </x:c>
      <x:c r="C4" s="36" t="str">
        <x:v>木造</x:v>
      </x:c>
      <x:c r="D4" s="36" t="str">
        <x:v>AVAILABLE</x:v>
      </x:c>
      <x:c r="E4" s="36" t="str">
        <x:v>3階以下の住宅サッシ用</x:v>
      </x:c>
      <x:c r="F4" s="36" t="str">
        <x:v>COMPLETE</x:v>
      </x:c>
      <x:c r="G4" s="37" t="str">
        <x:v>EV-010</x:v>
      </x:c>
    </x:row>
    <x:row r="5">
      <x:c r="A5" s="35" t="str">
        <x:v>AP-STRUCT-2</x:v>
      </x:c>
      <x:c r="B5" s="36" t="str">
        <x:v>building_structure</x:v>
      </x:c>
      <x:c r="C5" s="36" t="str">
        <x:v>RC造</x:v>
      </x:c>
      <x:c r="D5" s="36" t="str">
        <x:v>CONDITIONAL</x:v>
      </x:c>
      <x:c r="E5" s="36" t="str">
        <x:v>3階以下かつ新設サッシ固定ねじを固定できる適切な木下地がある場合</x:v>
      </x:c>
      <x:c r="F5" s="36" t="str">
        <x:v>COMPLETE</x:v>
      </x:c>
      <x:c r="G5" s="37" t="str">
        <x:v>EV-010</x:v>
      </x:c>
    </x:row>
    <x:row r="6">
      <x:c r="A6" s="35" t="str">
        <x:v>AP-STRUCT-3</x:v>
      </x:c>
      <x:c r="B6" s="36" t="str">
        <x:v>building_structure</x:v>
      </x:c>
      <x:c r="C6" s="36" t="str">
        <x:v>ALC造</x:v>
      </x:c>
      <x:c r="D6" s="36" t="str">
        <x:v>UNAVAILABLE</x:v>
      </x:c>
      <x:c r="E6" s="36" t="str">
        <x:v>対応不可</x:v>
      </x:c>
      <x:c r="F6" s="36" t="str">
        <x:v>COMPLETE</x:v>
      </x:c>
      <x:c r="G6" s="37" t="str">
        <x:v>EV-010</x:v>
      </x:c>
    </x:row>
    <x:row r="7">
      <x:c r="A7" s="35" t="str">
        <x:v>AP-STRUCT-4</x:v>
      </x:c>
      <x:c r="B7" s="36" t="str">
        <x:v>building_structure</x:v>
      </x:c>
      <x:c r="C7" s="36" t="str">
        <x:v>鉄骨造</x:v>
      </x:c>
      <x:c r="D7" s="36" t="str">
        <x:v>UNAVAILABLE</x:v>
      </x:c>
      <x:c r="E7" s="36" t="str">
        <x:v>対応不可</x:v>
      </x:c>
      <x:c r="F7" s="36" t="str">
        <x:v>COMPLETE</x:v>
      </x:c>
      <x:c r="G7" s="37" t="str">
        <x:v>EV-010</x:v>
      </x:c>
    </x:row>
    <x:row r="8">
      <x:c r="A8" s="35" t="str">
        <x:v>AP-STRUCT-5</x:v>
      </x:c>
      <x:c r="B8" s="36" t="str">
        <x:v>building_structure</x:v>
      </x:c>
      <x:c r="C8" s="36" t="str">
        <x:v>プレハブ/特殊納まり</x:v>
      </x:c>
      <x:c r="D8" s="36" t="str">
        <x:v>CONDITIONAL</x:v>
      </x:c>
      <x:c r="E8" s="36" t="str">
        <x:v>建築図面で固定ねじ用木下地を確認</x:v>
      </x:c>
      <x:c r="F8" s="36" t="str">
        <x:v>COMPLETE</x:v>
      </x:c>
      <x:c r="G8" s="37" t="str">
        <x:v>EV-010</x:v>
      </x:c>
    </x:row>
    <x:row r="9">
      <x:c r="A9" s="35" t="str">
        <x:v>AP-FIRE-1</x:v>
      </x:c>
      <x:c r="B9" s="36" t="str">
        <x:v>fire_requirement</x:v>
      </x:c>
      <x:c r="C9" s="36" t="str">
        <x:v>防火仕様設置義務あり</x:v>
      </x:c>
      <x:c r="D9" s="36" t="str">
        <x:v>UNAVAILABLE</x:v>
      </x:c>
      <x:c r="E9" s="36" t="str">
        <x:v>本商品は防火仕様ではない</x:v>
      </x:c>
      <x:c r="F9" s="36" t="str">
        <x:v>COMPLETE</x:v>
      </x:c>
      <x:c r="G9" s="37" t="str">
        <x:v>EV-010</x:v>
      </x:c>
    </x:row>
    <x:row r="10">
      <x:c r="A10" s="35" t="str">
        <x:v>AP-MAT-1</x:v>
      </x:c>
      <x:c r="B10" s="36" t="str">
        <x:v>existing_sash_material</x:v>
      </x:c>
      <x:c r="C10" s="36" t="str">
        <x:v>樹脂製</x:v>
      </x:c>
      <x:c r="D10" s="36" t="str">
        <x:v>UNAVAILABLE</x:v>
      </x:c>
      <x:c r="E10" s="36" t="str">
        <x:v>取付不可</x:v>
      </x:c>
      <x:c r="F10" s="36" t="str">
        <x:v>COMPLETE</x:v>
      </x:c>
      <x:c r="G10" s="37" t="str">
        <x:v>EV-010,014</x:v>
      </x:c>
    </x:row>
    <x:row r="11">
      <x:c r="A11" s="35" t="str">
        <x:v>AP-MAT-2</x:v>
      </x:c>
      <x:c r="B11" s="36" t="str">
        <x:v>existing_sash_material</x:v>
      </x:c>
      <x:c r="C11" s="36" t="str">
        <x:v>木製</x:v>
      </x:c>
      <x:c r="D11" s="36" t="str">
        <x:v>UNAVAILABLE</x:v>
      </x:c>
      <x:c r="E11" s="36" t="str">
        <x:v>取付不可</x:v>
      </x:c>
      <x:c r="F11" s="36" t="str">
        <x:v>COMPLETE</x:v>
      </x:c>
      <x:c r="G11" s="37" t="str">
        <x:v>EV-010,014</x:v>
      </x:c>
    </x:row>
    <x:row r="12">
      <x:c r="A12" s="35" t="str">
        <x:v>AP-ROOM-1</x:v>
      </x:c>
      <x:c r="B12" s="36" t="str">
        <x:v>installation_room</x:v>
      </x:c>
      <x:c r="C12" s="36" t="str">
        <x:v>居室</x:v>
      </x:c>
      <x:c r="D12" s="36" t="str">
        <x:v>AVAILABLE</x:v>
      </x:c>
      <x:c r="E12" s="36" t="str">
        <x:v>居室仕様対象</x:v>
      </x:c>
      <x:c r="F12" s="36" t="str">
        <x:v>COMPLETE</x:v>
      </x:c>
      <x:c r="G12" s="37" t="str">
        <x:v>EV-010</x:v>
      </x:c>
    </x:row>
    <x:row r="13">
      <x:c r="A13" s="35" t="str">
        <x:v>AP-SWING-1</x:v>
      </x:c>
      <x:c r="B13" s="36" t="str">
        <x:v>work_space</x:v>
      </x:c>
      <x:c r="C13" s="36" t="str">
        <x:v>室内から施工時に新設枠を外側へ振り出せない</x:v>
      </x:c>
      <x:c r="D13" s="36" t="str">
        <x:v>CONDITIONAL</x:v>
      </x:c>
      <x:c r="E13" s="36" t="str">
        <x:v>内嵌め用を手配</x:v>
      </x:c>
      <x:c r="F13" s="36" t="str">
        <x:v>COMPLETE</x:v>
      </x:c>
      <x:c r="G13" s="37" t="str">
        <x:v>EV-010</x:v>
      </x:c>
    </x:row>
    <x:row r="14">
      <x:c r="A14" s="38" t="str">
        <x:v>AP-RAIL-1</x:v>
      </x:c>
      <x:c r="B14" s="39" t="str">
        <x:v>existing_frame_depth</x:v>
      </x:c>
      <x:c r="C14" s="39" t="str">
        <x:v>引違い下枠3本レール等で見込み寸法が大きい</x:v>
      </x:c>
      <x:c r="D14" s="39" t="str">
        <x:v>CONDITIONAL/UNAVAILABLE</x:v>
      </x:c>
      <x:c r="E14" s="39" t="str">
        <x:v>既設枠見込み図の上限を確認</x:v>
      </x:c>
      <x:c r="F14" s="39" t="str">
        <x:v>COMPLETE</x:v>
      </x:c>
      <x:c r="G14" s="40" t="str">
        <x:v>EV-011</x:v>
      </x:c>
    </x:row>
  </x:sheetData>
  <x:mergeCells>
    <x:mergeCell ref="A1:G1"/>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26" hidden="0" customWidth="1"/>
    <x:col min="5" max="5" width="24" hidden="0" customWidth="1"/>
    <x:col min="6" max="6" width="54" hidden="0" customWidth="1"/>
    <x:col min="7" max="7" width="14" hidden="0" customWidth="1"/>
    <x:col min="8" max="8" width="16" hidden="0" customWidth="1"/>
  </x:cols>
  <x:sheetData>
    <x:row r="1" ht="28" customHeight="1">
      <x:c r="A1" s="4" t="str">
        <x:v>10A_既設窓互換｜既設窓種対応可否</x:v>
      </x:c>
      <x:c r="B1" s="4"/>
      <x:c r="C1" s="4"/>
      <x:c r="D1" s="4"/>
      <x:c r="E1" s="4"/>
      <x:c r="F1" s="4"/>
      <x:c r="G1" s="4"/>
      <x:c r="H1" s="4"/>
    </x:row>
    <x:row r="2" ht="34" customHeight="1">
      <x:c r="A2" s="11" t="str">
        <x:v>公式表は居室仕様の新設サッシ全体に対する既設窓種可否として掲載。窓種ごとの個別可否を推測で細分化しない。</x:v>
      </x:c>
      <x:c r="B2" s="11"/>
      <x:c r="C2" s="11"/>
      <x:c r="D2" s="11"/>
      <x:c r="E2" s="11"/>
      <x:c r="F2" s="11"/>
      <x:c r="G2" s="11"/>
      <x:c r="H2" s="11"/>
    </x:row>
    <x:row r="4" ht="30" customHeight="1">
      <x:c r="A4" s="32" t="str">
        <x:v>rule_id</x:v>
      </x:c>
      <x:c r="B4" s="33" t="str">
        <x:v>existing_family</x:v>
      </x:c>
      <x:c r="C4" s="33" t="str">
        <x:v>existing_window_type</x:v>
      </x:c>
      <x:c r="D4" s="33" t="str">
        <x:v>new_window_scope</x:v>
      </x:c>
      <x:c r="E4" s="33" t="str">
        <x:v>result</x:v>
      </x:c>
      <x:c r="F4" s="33" t="str">
        <x:v>condition_note</x:v>
      </x:c>
      <x:c r="G4" s="33" t="str">
        <x:v>status</x:v>
      </x:c>
      <x:c r="H4" s="34" t="str">
        <x:v>evidence</x:v>
      </x:c>
    </x:row>
    <x:row r="5">
      <x:c r="A5" s="35" t="str">
        <x:v>EX-001</x:v>
      </x:c>
      <x:c r="B5" s="36" t="str">
        <x:v>引違い窓</x:v>
      </x:c>
      <x:c r="C5" s="36" t="str">
        <x:v>単体サッシ</x:v>
      </x:c>
      <x:c r="D5" s="36" t="str">
        <x:v>ANY_ROOM_WINDOW</x:v>
      </x:c>
      <x:c r="E5" s="36" t="str">
        <x:v>AVAILABLE</x:v>
      </x:c>
      <x:c r="F5" s="36" t="str">
        <x:v>—</x:v>
      </x:c>
      <x:c r="G5" s="36" t="str">
        <x:v>COMPLETE</x:v>
      </x:c>
      <x:c r="H5" s="37" t="str">
        <x:v>EV-011</x:v>
      </x:c>
    </x:row>
    <x:row r="6">
      <x:c r="A6" s="35" t="str">
        <x:v>EX-002</x:v>
      </x:c>
      <x:c r="B6" s="36" t="str">
        <x:v>引違い窓</x:v>
      </x:c>
      <x:c r="C6" s="36" t="str">
        <x:v>連段窓（ランマ付含む、一体方立・一体無目）</x:v>
      </x:c>
      <x:c r="D6" s="36" t="str">
        <x:v>ANY_ROOM_WINDOW</x:v>
      </x:c>
      <x:c r="E6" s="36" t="str">
        <x:v>AVAILABLE</x:v>
      </x:c>
      <x:c r="F6" s="36" t="str">
        <x:v>—</x:v>
      </x:c>
      <x:c r="G6" s="36" t="str">
        <x:v>COMPLETE</x:v>
      </x:c>
      <x:c r="H6" s="37" t="str">
        <x:v>EV-011</x:v>
      </x:c>
    </x:row>
    <x:row r="7">
      <x:c r="A7" s="35" t="str">
        <x:v>EX-003</x:v>
      </x:c>
      <x:c r="B7" s="36" t="str">
        <x:v>引違い窓</x:v>
      </x:c>
      <x:c r="C7" s="36" t="str">
        <x:v>連段窓（別体方立・別体無目）</x:v>
      </x:c>
      <x:c r="D7" s="36" t="str">
        <x:v>ANY_ROOM_WINDOW</x:v>
      </x:c>
      <x:c r="E7" s="36" t="str">
        <x:v>UNAVAILABLE</x:v>
      </x:c>
      <x:c r="F7" s="36" t="str">
        <x:v>—</x:v>
      </x:c>
      <x:c r="G7" s="36" t="str">
        <x:v>COMPLETE</x:v>
      </x:c>
      <x:c r="H7" s="37" t="str">
        <x:v>EV-011</x:v>
      </x:c>
    </x:row>
    <x:row r="8">
      <x:c r="A8" s="35" t="str">
        <x:v>EX-004</x:v>
      </x:c>
      <x:c r="B8" s="36" t="str">
        <x:v>引違い窓</x:v>
      </x:c>
      <x:c r="C8" s="36" t="str">
        <x:v>二重サッシ</x:v>
      </x:c>
      <x:c r="D8" s="36" t="str">
        <x:v>ANY_ROOM_WINDOW</x:v>
      </x:c>
      <x:c r="E8" s="36" t="str">
        <x:v>AVAILABLE</x:v>
      </x:c>
      <x:c r="F8" s="36" t="str">
        <x:v>内窓を外せること</x:v>
      </x:c>
      <x:c r="G8" s="36" t="str">
        <x:v>COMPLETE</x:v>
      </x:c>
      <x:c r="H8" s="37" t="str">
        <x:v>EV-011</x:v>
      </x:c>
    </x:row>
    <x:row r="9">
      <x:c r="A9" s="35" t="str">
        <x:v>EX-005</x:v>
      </x:c>
      <x:c r="B9" s="36" t="str">
        <x:v>引違い窓</x:v>
      </x:c>
      <x:c r="C9" s="36" t="str">
        <x:v>面格子付サッシ</x:v>
      </x:c>
      <x:c r="D9" s="36" t="str">
        <x:v>ANY_ROOM_WINDOW</x:v>
      </x:c>
      <x:c r="E9" s="36" t="str">
        <x:v>AVAILABLE</x:v>
      </x:c>
      <x:c r="F9" s="36" t="str">
        <x:v>面格子再取付可否は現調</x:v>
      </x:c>
      <x:c r="G9" s="36" t="str">
        <x:v>COMPLETE</x:v>
      </x:c>
      <x:c r="H9" s="37" t="str">
        <x:v>EV-011</x:v>
      </x:c>
    </x:row>
    <x:row r="10">
      <x:c r="A10" s="35" t="str">
        <x:v>EX-006</x:v>
      </x:c>
      <x:c r="B10" s="36" t="str">
        <x:v>引違い窓</x:v>
      </x:c>
      <x:c r="C10" s="36" t="str">
        <x:v>雨戸付サッシ（無目止まり除く）</x:v>
      </x:c>
      <x:c r="D10" s="36" t="str">
        <x:v>ANY_ROOM_WINDOW</x:v>
      </x:c>
      <x:c r="E10" s="36" t="str">
        <x:v>AVAILABLE_CONDITIONAL</x:v>
      </x:c>
      <x:c r="F10" s="36" t="str">
        <x:v>リプラス居室仕様は可。アタッチ枠は不可</x:v>
      </x:c>
      <x:c r="G10" s="36" t="str">
        <x:v>COMPLETE</x:v>
      </x:c>
      <x:c r="H10" s="37" t="str">
        <x:v>EV-011</x:v>
      </x:c>
    </x:row>
    <x:row r="11">
      <x:c r="A11" s="35" t="str">
        <x:v>EX-007</x:v>
      </x:c>
      <x:c r="B11" s="36" t="str">
        <x:v>引違い窓</x:v>
      </x:c>
      <x:c r="C11" s="36" t="str">
        <x:v>シャッター付サッシ（電動除く）</x:v>
      </x:c>
      <x:c r="D11" s="36" t="str">
        <x:v>ANY_ROOM_WINDOW</x:v>
      </x:c>
      <x:c r="E11" s="36" t="str">
        <x:v>AVAILABLE_CONDITIONAL</x:v>
      </x:c>
      <x:c r="F11" s="36" t="str">
        <x:v>リプラス居室仕様は可。アタッチ枠は不可</x:v>
      </x:c>
      <x:c r="G11" s="36" t="str">
        <x:v>COMPLETE</x:v>
      </x:c>
      <x:c r="H11" s="37" t="str">
        <x:v>EV-011</x:v>
      </x:c>
    </x:row>
    <x:row r="12">
      <x:c r="A12" s="35" t="str">
        <x:v>EX-008</x:v>
      </x:c>
      <x:c r="B12" s="36" t="str">
        <x:v>装飾窓</x:v>
      </x:c>
      <x:c r="C12" s="36" t="str">
        <x:v>単体サッシ</x:v>
      </x:c>
      <x:c r="D12" s="36" t="str">
        <x:v>ANY_ROOM_WINDOW</x:v>
      </x:c>
      <x:c r="E12" s="36" t="str">
        <x:v>AVAILABLE</x:v>
      </x:c>
      <x:c r="F12" s="36" t="str">
        <x:v>—</x:v>
      </x:c>
      <x:c r="G12" s="36" t="str">
        <x:v>COMPLETE</x:v>
      </x:c>
      <x:c r="H12" s="37" t="str">
        <x:v>EV-011</x:v>
      </x:c>
    </x:row>
    <x:row r="13">
      <x:c r="A13" s="35" t="str">
        <x:v>EX-009</x:v>
      </x:c>
      <x:c r="B13" s="36" t="str">
        <x:v>装飾窓</x:v>
      </x:c>
      <x:c r="C13" s="36" t="str">
        <x:v>単体サッシ（異形：丸・台形等）</x:v>
      </x:c>
      <x:c r="D13" s="36" t="str">
        <x:v>ANY_ROOM_WINDOW</x:v>
      </x:c>
      <x:c r="E13" s="36" t="str">
        <x:v>UNAVAILABLE</x:v>
      </x:c>
      <x:c r="F13" s="36" t="str">
        <x:v>—</x:v>
      </x:c>
      <x:c r="G13" s="36" t="str">
        <x:v>COMPLETE</x:v>
      </x:c>
      <x:c r="H13" s="37" t="str">
        <x:v>EV-011</x:v>
      </x:c>
    </x:row>
    <x:row r="14">
      <x:c r="A14" s="35" t="str">
        <x:v>EX-010</x:v>
      </x:c>
      <x:c r="B14" s="36" t="str">
        <x:v>装飾窓</x:v>
      </x:c>
      <x:c r="C14" s="36" t="str">
        <x:v>連段窓（一体方立・一体無目）</x:v>
      </x:c>
      <x:c r="D14" s="36" t="str">
        <x:v>ANY_ROOM_WINDOW</x:v>
      </x:c>
      <x:c r="E14" s="36" t="str">
        <x:v>AVAILABLE</x:v>
      </x:c>
      <x:c r="F14" s="36" t="str">
        <x:v>—</x:v>
      </x:c>
      <x:c r="G14" s="36" t="str">
        <x:v>COMPLETE</x:v>
      </x:c>
      <x:c r="H14" s="37" t="str">
        <x:v>EV-011</x:v>
      </x:c>
    </x:row>
    <x:row r="15">
      <x:c r="A15" s="38" t="str">
        <x:v>EX-011</x:v>
      </x:c>
      <x:c r="B15" s="39" t="str">
        <x:v>装飾窓</x:v>
      </x:c>
      <x:c r="C15" s="39" t="str">
        <x:v>連段窓（別体方立・別体無目）</x:v>
      </x:c>
      <x:c r="D15" s="39" t="str">
        <x:v>ANY_ROOM_WINDOW</x:v>
      </x:c>
      <x:c r="E15" s="39" t="str">
        <x:v>UNAVAILABLE</x:v>
      </x:c>
      <x:c r="F15" s="39" t="str">
        <x:v>—</x:v>
      </x:c>
      <x:c r="G15" s="39" t="str">
        <x:v>COMPLETE</x:v>
      </x:c>
      <x:c r="H15" s="40" t="str">
        <x:v>EV-011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18" hidden="0" customWidth="1"/>
    <x:col min="2" max="2" width="28" hidden="0" customWidth="1"/>
    <x:col min="3" max="3" width="12" hidden="0" customWidth="1"/>
    <x:col min="4" max="4" width="10" hidden="0" customWidth="1"/>
    <x:col min="5" max="5" width="78" hidden="0" customWidth="1"/>
    <x:col min="6" max="6" width="20" hidden="0" customWidth="1"/>
    <x:col min="7" max="7" width="18" hidden="0" customWidth="1"/>
    <x:col min="8" max="8" width="14" hidden="0" customWidth="1"/>
    <x:col min="9" max="9" width="18" hidden="0" customWidth="1"/>
  </x:cols>
  <x:sheetData>
    <x:row r="1" ht="28" customHeight="1">
      <x:c r="A1" s="127" t="str">
        <x:v>10B_現調項目｜完成版</x:v>
      </x:c>
      <x:c r="B1" s="127"/>
      <x:c r="C1" s="127"/>
      <x:c r="D1" s="127"/>
      <x:c r="E1" s="127"/>
      <x:c r="F1" s="127"/>
      <x:c r="G1" s="127"/>
      <x:c r="H1" s="127"/>
      <x:c r="I1" s="127"/>
    </x:row>
    <x:row r="3" ht="30" customHeight="1">
      <x:c r="A3" s="141" t="str">
        <x:v>survey_id</x:v>
      </x:c>
      <x:c r="B3" s="142" t="str">
        <x:v>項目名</x:v>
      </x:c>
      <x:c r="C3" s="142" t="str">
        <x:v>symbol</x:v>
      </x:c>
      <x:c r="D3" s="142" t="str">
        <x:v>unit</x:v>
      </x:c>
      <x:c r="E3" s="142" t="str">
        <x:v>判定/採寸ルール</x:v>
      </x:c>
      <x:c r="F3" s="142" t="str">
        <x:v>requirement</x:v>
      </x:c>
      <x:c r="G3" s="142" t="str">
        <x:v>ui_layer</x:v>
      </x:c>
      <x:c r="H3" s="142" t="str">
        <x:v>status</x:v>
      </x:c>
      <x:c r="I3" s="143" t="str">
        <x:v>evidence</x:v>
      </x:c>
    </x:row>
    <x:row r="4">
      <x:c r="A4" s="144" t="str">
        <x:v>SV-W3</x:v>
      </x:c>
      <x:c r="B4" s="145" t="str">
        <x:v>採寸W 3点</x:v>
      </x:c>
      <x:c r="C4" s="145" t="str">
        <x:v>WS</x:v>
      </x:c>
      <x:c r="D4" s="145" t="str">
        <x:v>mm</x:v>
      </x:c>
      <x:c r="E4" s="145" t="str">
        <x:v>上・中・下の3点を採寸し最小値基準</x:v>
      </x:c>
      <x:c r="F4" s="145" t="str">
        <x:v>REQUIRED</x:v>
      </x:c>
      <x:c r="G4" s="145" t="str">
        <x:v>現調UI</x:v>
      </x:c>
      <x:c r="H4" s="145" t="str">
        <x:v>COMPLETE</x:v>
      </x:c>
      <x:c r="I4" s="146" t="str">
        <x:v>EV-019</x:v>
      </x:c>
    </x:row>
    <x:row r="5">
      <x:c r="A5" s="144" t="str">
        <x:v>SV-H3</x:v>
      </x:c>
      <x:c r="B5" s="145" t="str">
        <x:v>採寸H 3点</x:v>
      </x:c>
      <x:c r="C5" s="145" t="str">
        <x:v>HS</x:v>
      </x:c>
      <x:c r="D5" s="145" t="str">
        <x:v>mm</x:v>
      </x:c>
      <x:c r="E5" s="145" t="str">
        <x:v>左・中・右の3点を採寸し最小値基準</x:v>
      </x:c>
      <x:c r="F5" s="145" t="str">
        <x:v>REQUIRED</x:v>
      </x:c>
      <x:c r="G5" s="145" t="str">
        <x:v>現調UI</x:v>
      </x:c>
      <x:c r="H5" s="145" t="str">
        <x:v>COMPLETE</x:v>
      </x:c>
      <x:c r="I5" s="146" t="str">
        <x:v>EV-019</x:v>
      </x:c>
    </x:row>
    <x:row r="6">
      <x:c r="A6" s="144" t="str">
        <x:v>SV-TWIST</x:v>
      </x:c>
      <x:c r="B6" s="145" t="str">
        <x:v>ねじれ/ゆがみ/たおれ</x:v>
      </x:c>
      <x:c r="C6" s="145" t="str">
        <x:v>—</x:v>
      </x:c>
      <x:c r="D6" s="145" t="str">
        <x:v>—</x:v>
      </x:c>
      <x:c r="E6" s="145" t="str">
        <x:v>問題がないことを確認</x:v>
      </x:c>
      <x:c r="F6" s="145" t="str">
        <x:v>REQUIRED</x:v>
      </x:c>
      <x:c r="G6" s="145" t="str">
        <x:v>現調UI</x:v>
      </x:c>
      <x:c r="H6" s="145" t="str">
        <x:v>COMPLETE</x:v>
      </x:c>
      <x:c r="I6" s="146" t="str">
        <x:v>EV-010</x:v>
      </x:c>
    </x:row>
    <x:row r="7">
      <x:c r="A7" s="144" t="str">
        <x:v>SV-LOWER-STD</x:v>
      </x:c>
      <x:c r="B7" s="145" t="str">
        <x:v>下枠立ち上がり</x:v>
      </x:c>
      <x:c r="C7" s="145" t="str">
        <x:v>—</x:v>
      </x:c>
      <x:c r="D7" s="145" t="str">
        <x:v>mm</x:v>
      </x:c>
      <x:c r="E7" s="145" t="str">
        <x:v>標準枠 補強金具 37～53mm</x:v>
      </x:c>
      <x:c r="F7" s="145" t="str">
        <x:v>CONDITIONAL</x:v>
      </x:c>
      <x:c r="G7" s="145" t="str">
        <x:v>現調UI</x:v>
      </x:c>
      <x:c r="H7" s="145" t="str">
        <x:v>COMPLETE</x:v>
      </x:c>
      <x:c r="I7" s="146" t="str">
        <x:v>EV-019</x:v>
      </x:c>
    </x:row>
    <x:row r="8">
      <x:c r="A8" s="144" t="str">
        <x:v>SV-LOWER-BRG</x:v>
      </x:c>
      <x:c r="B8" s="145" t="str">
        <x:v>下枠立ち上がり</x:v>
      </x:c>
      <x:c r="C8" s="145" t="str">
        <x:v>—</x:v>
      </x:c>
      <x:c r="D8" s="145" t="str">
        <x:v>mm</x:v>
      </x:c>
      <x:c r="E8" s="145" t="str">
        <x:v>ブリッジ枠 補強金具 32～53mm</x:v>
      </x:c>
      <x:c r="F8" s="145" t="str">
        <x:v>CONDITIONAL</x:v>
      </x:c>
      <x:c r="G8" s="145" t="str">
        <x:v>現調UI</x:v>
      </x:c>
      <x:c r="H8" s="145" t="str">
        <x:v>COMPLETE</x:v>
      </x:c>
      <x:c r="I8" s="146" t="str">
        <x:v>EV-019</x:v>
      </x:c>
    </x:row>
    <x:row r="9">
      <x:c r="A9" s="144" t="str">
        <x:v>SV-LOWER-DEC</x:v>
      </x:c>
      <x:c r="B9" s="145" t="str">
        <x:v>下枠立ち上がり</x:v>
      </x:c>
      <x:c r="C9" s="145" t="str">
        <x:v>—</x:v>
      </x:c>
      <x:c r="D9" s="145" t="str">
        <x:v>mm</x:v>
      </x:c>
      <x:c r="E9" s="145" t="str">
        <x:v>標準枠の縦すべり/横すべり/上げ下げ窓は補強金具確認不要</x:v>
      </x:c>
      <x:c r="F9" s="145" t="str">
        <x:v>NOT_APPLICABLE</x:v>
      </x:c>
      <x:c r="G9" s="145" t="str">
        <x:v>現調UI非表示</x:v>
      </x:c>
      <x:c r="H9" s="145" t="str">
        <x:v>COMPLETE</x:v>
      </x:c>
      <x:c r="I9" s="146" t="str">
        <x:v>EV-019</x:v>
      </x:c>
    </x:row>
    <x:row r="10">
      <x:c r="A10" s="144" t="str">
        <x:v>SV-HEAD-FACE</x:v>
      </x:c>
      <x:c r="B10" s="145" t="str">
        <x:v>既設上枠見付</x:v>
      </x:c>
      <x:c r="C10" s="145" t="str">
        <x:v>—</x:v>
      </x:c>
      <x:c r="D10" s="145" t="str">
        <x:v>mm</x:v>
      </x:c>
      <x:c r="E10" s="145" t="str">
        <x:v>10Cの化粧カバー見付ルールで判定</x:v>
      </x:c>
      <x:c r="F10" s="145" t="str">
        <x:v>REQUIRED</x:v>
      </x:c>
      <x:c r="G10" s="145" t="str">
        <x:v>現調UI</x:v>
      </x:c>
      <x:c r="H10" s="145" t="str">
        <x:v>COMPLETE</x:v>
      </x:c>
      <x:c r="I10" s="146" t="str">
        <x:v>EV-019</x:v>
      </x:c>
    </x:row>
    <x:row r="11">
      <x:c r="A11" s="144" t="str">
        <x:v>SV-SILL-FACE</x:v>
      </x:c>
      <x:c r="B11" s="145" t="str">
        <x:v>既設下枠見付</x:v>
      </x:c>
      <x:c r="C11" s="145" t="str">
        <x:v>—</x:v>
      </x:c>
      <x:c r="D11" s="145" t="str">
        <x:v>mm</x:v>
      </x:c>
      <x:c r="E11" s="145" t="str">
        <x:v>10Cの化粧カバー見付ルールで判定</x:v>
      </x:c>
      <x:c r="F11" s="145" t="str">
        <x:v>REQUIRED</x:v>
      </x:c>
      <x:c r="G11" s="145" t="str">
        <x:v>現調UI</x:v>
      </x:c>
      <x:c r="H11" s="145" t="str">
        <x:v>COMPLETE</x:v>
      </x:c>
      <x:c r="I11" s="146" t="str">
        <x:v>EV-019</x:v>
      </x:c>
    </x:row>
    <x:row r="12">
      <x:c r="A12" s="144" t="str">
        <x:v>SV-JAMB-FACE</x:v>
      </x:c>
      <x:c r="B12" s="145" t="str">
        <x:v>既設縦枠見付</x:v>
      </x:c>
      <x:c r="C12" s="145" t="str">
        <x:v>—</x:v>
      </x:c>
      <x:c r="D12" s="145" t="str">
        <x:v>mm</x:v>
      </x:c>
      <x:c r="E12" s="145" t="str">
        <x:v>10Cの化粧カバー見付ルールで判定</x:v>
      </x:c>
      <x:c r="F12" s="145" t="str">
        <x:v>REQUIRED</x:v>
      </x:c>
      <x:c r="G12" s="145" t="str">
        <x:v>現調UI</x:v>
      </x:c>
      <x:c r="H12" s="145" t="str">
        <x:v>COMPLETE</x:v>
      </x:c>
      <x:c r="I12" s="146" t="str">
        <x:v>EV-019</x:v>
      </x:c>
    </x:row>
    <x:row r="13">
      <x:c r="A13" s="144" t="str">
        <x:v>SV-FRAME-DEPTH</x:v>
      </x:c>
      <x:c r="B13" s="145" t="str">
        <x:v>既設枠見込み</x:v>
      </x:c>
      <x:c r="C13" s="145" t="str">
        <x:v>—</x:v>
      </x:c>
      <x:c r="D13" s="145" t="str">
        <x:v>mm</x:v>
      </x:c>
      <x:c r="E13" s="145" t="str">
        <x:v>3本レール等は規定図の上限を超える場合不可</x:v>
      </x:c>
      <x:c r="F13" s="145" t="str">
        <x:v>REQUIRED</x:v>
      </x:c>
      <x:c r="G13" s="145" t="str">
        <x:v>現調UI</x:v>
      </x:c>
      <x:c r="H13" s="145" t="str">
        <x:v>COMPLETE</x:v>
      </x:c>
      <x:c r="I13" s="146" t="str">
        <x:v>EV-011</x:v>
      </x:c>
    </x:row>
    <x:row r="14">
      <x:c r="A14" s="147" t="str">
        <x:v>SV-SWING</x:v>
      </x:c>
      <x:c r="B14" s="148" t="str">
        <x:v>新設枠振り出し可否</x:v>
      </x:c>
      <x:c r="C14" s="148" t="str">
        <x:v>—</x:v>
      </x:c>
      <x:c r="D14" s="148" t="str">
        <x:v>—</x:v>
      </x:c>
      <x:c r="E14" s="148" t="str">
        <x:v>不可の場合は内嵌め施工候補へ</x:v>
      </x:c>
      <x:c r="F14" s="148" t="str">
        <x:v>REQUIRED</x:v>
      </x:c>
      <x:c r="G14" s="148" t="str">
        <x:v>現調UI</x:v>
      </x:c>
      <x:c r="H14" s="148" t="str">
        <x:v>COMPLETE</x:v>
      </x:c>
      <x:c r="I14" s="149" t="str">
        <x:v>EV-010,019</x:v>
      </x:c>
    </x:row>
  </x:sheetData>
  <x:mergeCells>
    <x:mergeCell ref="A1:I1"/>
  </x:mergeCells>
  <x:pageMargins left="0.7" right="0.7" top="0.75" bottom="0.75" header="0.3" footer="0.3"/>
</x:worksheet>
</file>

<file path=xl/worksheets/sheet25.xml><?xml version="1.0" encoding="utf-8"?>
<x:worksheet xmlns:x="http://schemas.openxmlformats.org/spreadsheetml/2006/main">
  <x:sheetFormatPr defaultRowHeight="15"/>
  <x:cols>
    <x:col min="1" max="1" width="16" hidden="0" customWidth="1"/>
    <x:col min="2" max="2" width="16" hidden="0" customWidth="1"/>
    <x:col min="3" max="3" width="42" hidden="0" customWidth="1"/>
    <x:col min="4" max="4" width="30" hidden="0" customWidth="1"/>
    <x:col min="5" max="5" width="90" hidden="0" customWidth="1"/>
    <x:col min="6" max="6" width="20" hidden="0" customWidth="1"/>
  </x:cols>
  <x:sheetData>
    <x:row r="1" ht="28" customHeight="1">
      <x:c r="A1" s="127" t="str">
        <x:v>99_QA｜居室仕様 完成判定</x:v>
      </x:c>
      <x:c r="B1" s="127"/>
      <x:c r="C1" s="127"/>
      <x:c r="D1" s="127"/>
      <x:c r="E1" s="127"/>
      <x:c r="F1" s="127"/>
    </x:row>
    <x:row r="2" ht="34" customHeight="1">
      <x:c r="A2" s="133" t="str">
        <x:v>COMPLETE_WITH_EXTERNAL_CHECK は未完成ではなく、共通仕様上『特殊境界のみ公式資料/見積システム確認へ送る』完成状態を示す。</x:v>
      </x:c>
      <x:c r="B2" s="133"/>
      <x:c r="C2" s="133"/>
      <x:c r="D2" s="133"/>
      <x:c r="E2" s="133"/>
      <x:c r="F2" s="133"/>
    </x:row>
    <x:row r="3" ht="30" customHeight="1">
      <x:c r="A3" s="32"/>
      <x:c r="B3" s="33"/>
      <x:c r="C3" s="33"/>
      <x:c r="D3" s="33"/>
      <x:c r="E3" s="33"/>
      <x:c r="F3" s="34"/>
    </x:row>
    <x:row r="4">
      <x:c r="A4" s="164" t="str">
        <x:v>qa_id</x:v>
      </x:c>
      <x:c r="B4" s="165" t="str">
        <x:v>phase</x:v>
      </x:c>
      <x:c r="C4" s="165" t="str">
        <x:v>項目</x:v>
      </x:c>
      <x:c r="D4" s="165" t="str">
        <x:v>status</x:v>
      </x:c>
      <x:c r="E4" s="165" t="str">
        <x:v>判定/残課題</x:v>
      </x:c>
      <x:c r="F4" s="166" t="str">
        <x:v>evidence</x:v>
      </x:c>
    </x:row>
    <x:row r="5">
      <x:c r="A5" s="144" t="str">
        <x:v>QA-01</x:v>
      </x:c>
      <x:c r="B5" s="145" t="str">
        <x:v>Phase 1</x:v>
      </x:c>
      <x:c r="C5" s="145" t="str">
        <x:v>全窓種確定</x:v>
      </x:c>
      <x:c r="D5" s="170" t="str">
        <x:v>COMPLETE</x:v>
      </x:c>
      <x:c r="E5" s="145" t="str">
        <x:v>8窓種確定</x:v>
      </x:c>
      <x:c r="F5" s="146" t="str">
        <x:v>EV-002,003</x:v>
      </x:c>
    </x:row>
    <x:row r="6">
      <x:c r="A6" s="144" t="str">
        <x:v>QA-02</x:v>
      </x:c>
      <x:c r="B6" s="145" t="str">
        <x:v>Phase 1</x:v>
      </x:c>
      <x:c r="C6" s="145" t="str">
        <x:v>枠仕様確定</x:v>
      </x:c>
      <x:c r="D6" s="170" t="str">
        <x:v>COMPLETE</x:v>
      </x:c>
      <x:c r="E6" s="145" t="str">
        <x:v>標準枠＋引違い窓のみブリッジ枠</x:v>
      </x:c>
      <x:c r="F6" s="146" t="str">
        <x:v>EV-007,014</x:v>
      </x:c>
    </x:row>
    <x:row r="7">
      <x:c r="A7" s="144" t="str">
        <x:v>QA-03</x:v>
      </x:c>
      <x:c r="B7" s="145" t="str">
        <x:v>Phase 2</x:v>
      </x:c>
      <x:c r="C7" s="145" t="str">
        <x:v>採寸/出来寸換算</x:v>
      </x:c>
      <x:c r="D7" s="170" t="str">
        <x:v>COMPLETE</x:v>
      </x:c>
      <x:c r="E7" s="145" t="str">
        <x:v>WD=WS-10 / HD=HS-10</x:v>
      </x:c>
      <x:c r="F7" s="146" t="str">
        <x:v>EV-013</x:v>
      </x:c>
    </x:row>
    <x:row r="8">
      <x:c r="A8" s="144" t="str">
        <x:v>QA-04</x:v>
      </x:c>
      <x:c r="B8" s="145" t="str">
        <x:v>Phase 2</x:v>
      </x:c>
      <x:c r="C8" s="145" t="str">
        <x:v>単窓基本製作範囲</x:v>
      </x:c>
      <x:c r="D8" s="170" t="str">
        <x:v>COMPLETE</x:v>
      </x:c>
      <x:c r="E8" s="145" t="str">
        <x:v>基本範囲・段差形状を機械判定用に投入</x:v>
      </x:c>
      <x:c r="F8" s="146" t="str">
        <x:v>EV-006～009</x:v>
      </x:c>
    </x:row>
    <x:row r="9">
      <x:c r="A9" s="144" t="str">
        <x:v>QA-05</x:v>
      </x:c>
      <x:c r="B9" s="145" t="str">
        <x:v>Phase 2</x:v>
      </x:c>
      <x:c r="C9" s="145" t="str">
        <x:v>斜線/曲線/耐風圧/ガラス面積境界</x:v>
      </x:c>
      <x:c r="D9" s="171" t="str">
        <x:v>COMPLETE_WITH_EXTERNAL_CHECK</x:v>
      </x:c>
      <x:c r="E9" s="145" t="str">
        <x:v>通常見積の完全自動化対象外。公式図/見積システム確認へ送る設計で完成</x:v>
      </x:c>
      <x:c r="F9" s="146" t="str">
        <x:v>EV-001,006～009</x:v>
      </x:c>
    </x:row>
    <x:row r="10">
      <x:c r="A10" s="144" t="str">
        <x:v>QA-06</x:v>
      </x:c>
      <x:c r="B10" s="145" t="str">
        <x:v>Phase 3</x:v>
      </x:c>
      <x:c r="C10" s="145" t="str">
        <x:v>色体系</x:v>
      </x:c>
      <x:c r="D10" s="170" t="str">
        <x:v>COMPLETE</x:v>
      </x:c>
      <x:c r="E10" s="145" t="str">
        <x:v>サッシ・化粧カバー・室内カバーを分離</x:v>
      </x:c>
      <x:c r="F10" s="146" t="str">
        <x:v>EV-003,014</x:v>
      </x:c>
    </x:row>
    <x:row r="11">
      <x:c r="A11" s="144" t="str">
        <x:v>QA-07</x:v>
      </x:c>
      <x:c r="B11" s="145" t="str">
        <x:v>Phase 3</x:v>
      </x:c>
      <x:c r="C11" s="145" t="str">
        <x:v>網戸形式×窓種</x:v>
      </x:c>
      <x:c r="D11" s="170" t="str">
        <x:v>COMPLETE</x:v>
      </x:c>
      <x:c r="E11" s="145" t="str">
        <x:v>引違い/すべり/上げ下げ/FIXのUI連動を確定</x:v>
      </x:c>
      <x:c r="F11" s="146" t="str">
        <x:v>EV-017,022</x:v>
      </x:c>
    </x:row>
    <x:row r="12">
      <x:c r="A12" s="144" t="str">
        <x:v>QA-08</x:v>
      </x:c>
      <x:c r="B12" s="145" t="str">
        <x:v>Phase 3</x:v>
      </x:c>
      <x:c r="C12" s="145" t="str">
        <x:v>ガラス大分類/追加機能</x:v>
      </x:c>
      <x:c r="D12" s="170" t="str">
        <x:v>COMPLETE</x:v>
      </x:c>
      <x:c r="E12" s="145" t="str">
        <x:v>一般複層/Low-E/高遮熱/安全合わせ/強化/上げ下げ窓FSトリプル</x:v>
      </x:c>
      <x:c r="F12" s="146" t="str">
        <x:v>EV-020</x:v>
      </x:c>
    </x:row>
    <x:row r="13">
      <x:c r="A13" s="144" t="str">
        <x:v>QA-09</x:v>
      </x:c>
      <x:c r="B13" s="145" t="str">
        <x:v>Phase 3</x:v>
      </x:c>
      <x:c r="C13" s="145" t="str">
        <x:v>ガラス面積・戸車耐荷重</x:v>
      </x:c>
      <x:c r="D13" s="171" t="str">
        <x:v>COMPLETE_WITH_EXTERNAL_CHECK</x:v>
      </x:c>
      <x:c r="E13" s="145" t="str">
        <x:v>公式表依存の最終可否のみ外部確認。通常入力で耐風圧要求は取らない</x:v>
      </x:c>
      <x:c r="F13" s="146" t="str">
        <x:v>EV-001,020</x:v>
      </x:c>
    </x:row>
    <x:row r="14">
      <x:c r="A14" s="144" t="str">
        <x:v>QA-10</x:v>
      </x:c>
      <x:c r="B14" s="145" t="str">
        <x:v>Phase 4</x:v>
      </x:c>
      <x:c r="C14" s="145" t="str">
        <x:v>主要オプション</x:v>
      </x:c>
      <x:c r="D14" s="170" t="str">
        <x:v>COMPLETE</x:v>
      </x:c>
      <x:c r="E14" s="145" t="str">
        <x:v>公式有償品取付可否表に基づくUI候補・併用条件を投入</x:v>
      </x:c>
      <x:c r="F14" s="146" t="str">
        <x:v>EV-018,021</x:v>
      </x:c>
    </x:row>
    <x:row r="15">
      <x:c r="A15" s="144" t="str">
        <x:v>QA-11</x:v>
      </x:c>
      <x:c r="B15" s="145" t="str">
        <x:v>Phase 5</x:v>
      </x:c>
      <x:c r="C15" s="145" t="str">
        <x:v>既設窓一般適用条件</x:v>
      </x:c>
      <x:c r="D15" s="170" t="str">
        <x:v>COMPLETE</x:v>
      </x:c>
      <x:c r="E15" s="145" t="str">
        <x:v>構造・防火・材質・作業条件</x:v>
      </x:c>
      <x:c r="F15" s="146" t="str">
        <x:v>EV-010,011</x:v>
      </x:c>
    </x:row>
    <x:row r="16">
      <x:c r="A16" s="144" t="str">
        <x:v>QA-12</x:v>
      </x:c>
      <x:c r="B16" s="145" t="str">
        <x:v>Phase 5</x:v>
      </x:c>
      <x:c r="C16" s="145" t="str">
        <x:v>既設窓種互換</x:v>
      </x:c>
      <x:c r="D16" s="170" t="str">
        <x:v>COMPLETE</x:v>
      </x:c>
      <x:c r="E16" s="145" t="str">
        <x:v>公式対応可否表</x:v>
      </x:c>
      <x:c r="F16" s="146" t="str">
        <x:v>EV-011</x:v>
      </x:c>
    </x:row>
    <x:row r="17">
      <x:c r="A17" s="144" t="str">
        <x:v>QA-13</x:v>
      </x:c>
      <x:c r="B17" s="145" t="str">
        <x:v>Phase 5</x:v>
      </x:c>
      <x:c r="C17" s="145" t="str">
        <x:v>3点採寸・下枠・見付条件</x:v>
      </x:c>
      <x:c r="D17" s="170" t="str">
        <x:v>COMPLETE</x:v>
      </x:c>
      <x:c r="E17" s="145" t="str">
        <x:v>現調UI用に構造化</x:v>
      </x:c>
      <x:c r="F17" s="146" t="str">
        <x:v>EV-019</x:v>
      </x:c>
    </x:row>
    <x:row r="18">
      <x:c r="A18" s="144" t="str">
        <x:v>QA-14</x:v>
      </x:c>
      <x:c r="B18" s="145" t="str">
        <x:v>Phase 5</x:v>
      </x:c>
      <x:c r="C18" s="145" t="str">
        <x:v>化粧カバー見付</x:v>
      </x:c>
      <x:c r="D18" s="170" t="str">
        <x:v>COMPLETE</x:v>
      </x:c>
      <x:c r="E18" s="145" t="str">
        <x:v>標準枠/ブリッジ枠の大中小等を数値化</x:v>
      </x:c>
      <x:c r="F18" s="146" t="str">
        <x:v>EV-019</x:v>
      </x:c>
    </x:row>
    <x:row r="19">
      <x:c r="A19" s="144" t="str">
        <x:v>QA-15</x:v>
      </x:c>
      <x:c r="B19" s="145" t="str">
        <x:v>Phase 6</x:v>
      </x:c>
      <x:c r="C19" s="145" t="str">
        <x:v>Evidence</x:v>
      </x:c>
      <x:c r="D19" s="170" t="str">
        <x:v>COMPLETE</x:v>
      </x:c>
      <x:c r="E19" s="145" t="str">
        <x:v>EV-001～022</x:v>
      </x:c>
      <x:c r="F19" s="146" t="str">
        <x:v>EV-001～022</x:v>
      </x:c>
    </x:row>
    <x:row r="20">
      <x:c r="A20" s="147" t="str">
        <x:v>QA-16</x:v>
      </x:c>
      <x:c r="B20" s="148" t="str">
        <x:v>Scope</x:v>
      </x:c>
      <x:c r="C20" s="148" t="str">
        <x:v>マンション用/マンション用防火戸</x:v>
      </x:c>
      <x:c r="D20" s="172" t="str">
        <x:v>NOT_APPLICABLE</x:v>
      </x:c>
      <x:c r="E20" s="148" t="str">
        <x:v>別商品マスター</x:v>
      </x:c>
      <x:c r="F20" s="149" t="str">
        <x:v>—</x:v>
      </x:c>
    </x:row>
  </x:sheetData>
  <x:mergeCells>
    <x:mergeCell ref="A1:F1"/>
    <x:mergeCell ref="A2:F2"/>
  </x:mergeCells>
  <x:conditionalFormatting sqref="D4:D20">
    <x:cfRule type="expression" dxfId="0" priority="1">
      <x:formula>D4="COMPLETE"</x:formula>
    </x:cfRule>
    <x:cfRule type="expression" dxfId="1" priority="2">
      <x:formula>D4="PARTIAL"</x:formula>
    </x:cfRule>
    <x:cfRule type="expression" dxfId="2" priority="3">
      <x:formula>D4="UNCONFIRMED"</x:formula>
    </x:cfRule>
    <x:cfRule type="expression" dxfId="3" priority="4">
      <x:formula>D4="NOT_APPLICABLE"</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20" hidden="0" customWidth="1"/>
    <x:col min="3" max="3" width="18" hidden="0" customWidth="1"/>
    <x:col min="4" max="4" width="62" hidden="0" customWidth="1"/>
    <x:col min="5" max="5" width="14" hidden="0" customWidth="1"/>
    <x:col min="6" max="6" width="18" hidden="0" customWidth="1"/>
  </x:cols>
  <x:sheetData>
    <x:row r="1" ht="28" customHeight="1">
      <x:c r="A1" s="4" t="str">
        <x:v>04A_開口構成｜opening_configuration</x:v>
      </x:c>
      <x:c r="B1" s="4"/>
      <x:c r="C1" s="4"/>
      <x:c r="D1" s="4"/>
      <x:c r="E1" s="4"/>
      <x:c r="F1" s="4"/>
    </x:row>
    <x:row r="2" ht="34" customHeight="1">
      <x:c r="A2" s="11" t="str">
        <x:v>居室仕様 v0.1 は単窓を実用化優先。連窓・段窓はデータ構造だけ先に確保し、p.111の総W/総Hルールを次版で完全展開。</x:v>
      </x:c>
      <x:c r="B2" s="11"/>
      <x:c r="C2" s="11"/>
      <x:c r="D2" s="11"/>
      <x:c r="E2" s="11"/>
      <x:c r="F2" s="11"/>
    </x:row>
    <x:row r="4" ht="30" customHeight="1">
      <x:c r="A4" s="32" t="str">
        <x:v>opening_configuration_id</x:v>
      </x:c>
      <x:c r="B4" s="33" t="str">
        <x:v>公式分類</x:v>
      </x:c>
      <x:c r="C4" s="33" t="str">
        <x:v>今回範囲</x:v>
      </x:c>
      <x:c r="D4" s="33" t="str">
        <x:v>構造</x:v>
      </x:c>
      <x:c r="E4" s="33" t="str">
        <x:v>status</x:v>
      </x:c>
      <x:c r="F4" s="34" t="str">
        <x:v>evidence</x:v>
      </x:c>
    </x:row>
    <x:row r="5">
      <x:c r="A5" s="35" t="str">
        <x:v>SINGLE</x:v>
      </x:c>
      <x:c r="B5" s="36" t="str">
        <x:v>単窓</x:v>
      </x:c>
      <x:c r="C5" s="36" t="str">
        <x:v>今回優先</x:v>
      </x:c>
      <x:c r="D5" s="36" t="str">
        <x:v>窓単体</x:v>
      </x:c>
      <x:c r="E5" s="36" t="str">
        <x:v>COMPLETE</x:v>
      </x:c>
      <x:c r="F5" s="37" t="str">
        <x:v>EV-003,006～009</x:v>
      </x:c>
    </x:row>
    <x:row r="6">
      <x:c r="A6" s="35" t="str">
        <x:v>COUPLED</x:v>
      </x:c>
      <x:c r="B6" s="36" t="str">
        <x:v>連窓</x:v>
      </x:c>
      <x:c r="C6" s="36" t="str">
        <x:v>準備済</x:v>
      </x:c>
      <x:c r="D6" s="36" t="str">
        <x:v>連窓方立＋組合せ窓。総W制限あり</x:v>
      </x:c>
      <x:c r="E6" s="36" t="str">
        <x:v>PARTIAL</x:v>
      </x:c>
      <x:c r="F6" s="37" t="str">
        <x:v>EV-009</x:v>
      </x:c>
    </x:row>
    <x:row r="7">
      <x:c r="A7" s="38" t="str">
        <x:v>STACKED</x:v>
      </x:c>
      <x:c r="B7" s="39" t="str">
        <x:v>段窓</x:v>
      </x:c>
      <x:c r="C7" s="39" t="str">
        <x:v>準備済</x:v>
      </x:c>
      <x:c r="D7" s="39" t="str">
        <x:v>段窓無目＋上下窓。総H/上窓制限あり</x:v>
      </x:c>
      <x:c r="E7" s="39" t="str">
        <x:v>PARTIAL</x:v>
      </x:c>
      <x:c r="F7" s="40" t="str">
        <x:v>EV-009</x:v>
      </x:c>
    </x:row>
  </x:sheetData>
  <x:mergeCells>
    <x:mergeCell ref="A1:F1"/>
    <x:mergeCell ref="A2:F2"/>
  </x:mergeCells>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28" hidden="0" customWidth="1"/>
    <x:col min="4" max="4" width="20" hidden="0" customWidth="1"/>
    <x:col min="5" max="5" width="30" hidden="0" customWidth="1"/>
    <x:col min="6" max="6" width="54" hidden="0" customWidth="1"/>
  </x:cols>
  <x:sheetData>
    <x:row r="1">
      <x:c r="A1" s="3" t="str">
        <x:v>11_見積入力テスト｜一次自動判定サンプル</x:v>
      </x:c>
      <x:c r="B1" s="3"/>
      <x:c r="C1" s="3"/>
      <x:c r="D1" s="3"/>
      <x:c r="E1" s="3"/>
      <x:c r="F1" s="3"/>
    </x:row>
    <x:row r="2">
      <x:c r="A2" s="67" t="str">
        <x:v>このテストは基本包絡での一次候補除外を確認するもの。斜線/曲線・耐風圧・ガラス面積は05Bの方針に従い公式確認へ送る。</x:v>
      </x:c>
      <x:c r="B2" s="67"/>
      <x:c r="C2" s="67"/>
      <x:c r="D2" s="67"/>
      <x:c r="E2" s="67"/>
      <x:c r="F2" s="67"/>
    </x:row>
    <x:row r="3">
      <x:c r="A3" s="90" t="str">
        <x:v>項目</x:v>
      </x:c>
      <x:c r="B3" s="91" t="str">
        <x:v>入力/算出</x:v>
      </x:c>
      <x:c r="C3" s="92"/>
      <x:c r="D3" s="91" t="str">
        <x:v>判定</x:v>
      </x:c>
      <x:c r="E3" s="91" t="str">
        <x:v>結果</x:v>
      </x:c>
      <x:c r="F3" s="93" t="str">
        <x:v>説明</x:v>
      </x:c>
    </x:row>
    <x:row r="4">
      <x:c r="A4" s="94" t="str">
        <x:v>取替方式</x:v>
      </x:c>
      <x:c r="B4" s="95" t="str">
        <x:v>RPL_DIRECT</x:v>
      </x:c>
      <x:c r="C4" s="95"/>
      <x:c r="D4" s="95" t="str">
        <x:v>基本包絡</x:v>
      </x:c>
      <x:c r="E4" s="95" t="str">
        <x:f>IF(COUNTIFS('05_サイズルール'!$B$5:$B$40,$B$6,'05_サイズルール'!$C$5:$C$40,$B$7,'05_サイズルール'!$D$5:$D$40,$B$8,'05_サイズルール'!$E$5:$E$40,$B$9,'05_サイズルール'!$G$5:$G$40,"&lt;="&amp;$B$12,'05_サイズルール'!$H$5:$H$40,"&gt;="&amp;$B$12,'05_サイズルール'!$I$5:$I$40,"&lt;="&amp;$B$13,'05_サイズルール'!$J$5:$J$40,"&gt;="&amp;$B$13)&gt;0,"基本包絡内","範囲外")</x:f>
        <x:v>基本包絡内</x:v>
      </x:c>
      <x:c r="F4" s="96" t="str">
        <x:v>一次候補除外に使用</x:v>
      </x:c>
    </x:row>
    <x:row r="5">
      <x:c r="A5" s="94" t="str">
        <x:v>仕様区分</x:v>
      </x:c>
      <x:c r="B5" s="95" t="str">
        <x:v>RPL_ROOM</x:v>
      </x:c>
      <x:c r="C5" s="95"/>
      <x:c r="D5" s="95" t="str">
        <x:v>詳細境界</x:v>
      </x:c>
      <x:c r="E5" s="95" t="str">
        <x:v>05A/05B確認</x:v>
      </x:c>
      <x:c r="F5" s="96" t="str">
        <x:v>段差形状は05A、斜線/曲線は05B</x:v>
      </x:c>
    </x:row>
    <x:row r="6">
      <x:c r="A6" s="94" t="str">
        <x:v>窓種</x:v>
      </x:c>
      <x:c r="B6" s="95" t="str">
        <x:v>RPL_ROOM_SLD</x:v>
      </x:c>
      <x:c r="C6" s="95"/>
      <x:c r="D6" s="95" t="str">
        <x:v>最終方針</x:v>
      </x:c>
      <x:c r="E6" s="95" t="str">
        <x:v>曲線・耐風圧・ガラス面積依存は公式確認</x:v>
      </x:c>
      <x:c r="F6" s="96" t="str">
        <x:v>共通仕様方針により特殊案件だけ確認へ送る</x:v>
      </x:c>
    </x:row>
    <x:row r="7">
      <x:c r="A7" s="94" t="str">
        <x:v>枠仕様</x:v>
      </x:c>
      <x:c r="B7" s="95" t="str">
        <x:v>RPL_STD</x:v>
      </x:c>
      <x:c r="C7" s="95"/>
      <x:c r="D7" s="95"/>
      <x:c r="E7" s="95"/>
      <x:c r="F7" s="96"/>
    </x:row>
    <x:row r="8">
      <x:c r="A8" s="94" t="str">
        <x:v>建数</x:v>
      </x:c>
      <x:c r="B8" s="95" t="str">
        <x:v>2枚建</x:v>
      </x:c>
      <x:c r="C8" s="95"/>
      <x:c r="D8" s="95"/>
      <x:c r="E8" s="95"/>
      <x:c r="F8" s="96"/>
    </x:row>
    <x:row r="9">
      <x:c r="A9" s="94" t="str">
        <x:v>高さ区分</x:v>
      </x:c>
      <x:c r="B9" s="95" t="str">
        <x:v>マド</x:v>
      </x:c>
      <x:c r="C9" s="95"/>
      <x:c r="D9" s="95"/>
      <x:c r="E9" s="95"/>
      <x:c r="F9" s="96"/>
    </x:row>
    <x:row r="10">
      <x:c r="A10" s="94" t="str">
        <x:v>採寸W (WS)</x:v>
      </x:c>
      <x:c r="B10" s="110" t="n">
        <x:v>1650</x:v>
      </x:c>
      <x:c r="C10" s="95"/>
      <x:c r="D10" s="95"/>
      <x:c r="E10" s="95"/>
      <x:c r="F10" s="96"/>
    </x:row>
    <x:row r="11">
      <x:c r="A11" s="94" t="str">
        <x:v>採寸H (HS)</x:v>
      </x:c>
      <x:c r="B11" s="110" t="n">
        <x:v>1100</x:v>
      </x:c>
      <x:c r="C11" s="95"/>
      <x:c r="D11" s="95"/>
      <x:c r="E11" s="95"/>
      <x:c r="F11" s="96"/>
    </x:row>
    <x:row r="12">
      <x:c r="A12" s="94" t="str">
        <x:v>出来寸W (WD)</x:v>
      </x:c>
      <x:c r="B12" s="110" t="n">
        <x:f>B10-10</x:f>
        <x:v>1640</x:v>
      </x:c>
      <x:c r="C12" s="95"/>
      <x:c r="D12" s="95"/>
      <x:c r="E12" s="95"/>
      <x:c r="F12" s="96"/>
    </x:row>
    <x:row r="13">
      <x:c r="A13" s="97" t="str">
        <x:v>出来寸H (HD)</x:v>
      </x:c>
      <x:c r="B13" s="111" t="n">
        <x:f>B11-10</x:f>
        <x:v>1090</x:v>
      </x:c>
      <x:c r="C13" s="98"/>
      <x:c r="D13" s="98"/>
      <x:c r="E13" s="98"/>
      <x:c r="F13" s="99"/>
    </x:row>
  </x:sheetData>
  <x:mergeCells>
    <x:mergeCell ref="A1:F1"/>
    <x:mergeCell ref="A2:F2"/>
  </x:mergeCells>
  <x:dataValidations count="4">
    <x:dataValidation type="list" sqref="B6">
      <x:formula1>"RPL_ROOM_SLD,RPL_ROOM_VS_OP,RPL_ROOM_VS_CAM,RPL_ROOM_HS_OP,RPL_ROOM_HS_CAM,RPL_ROOM_DHFS,RPL_ROOM_FIX_OUT,RPL_ROOM_FIX_IN"</x:formula1>
    </x:dataValidation>
    <x:dataValidation type="list" sqref="B7">
      <x:formula1>"RPL_STD,RPL_BRIDGE"</x:formula1>
    </x:dataValidation>
    <x:dataValidation type="list" sqref="B8">
      <x:formula1>"2枚建,4枚建"</x:formula1>
    </x:dataValidation>
    <x:dataValidation type="list" sqref="B9">
      <x:formula1>"マド,テラス"</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18" hidden="0" customWidth="1"/>
    <x:col min="3" max="3" width="26" hidden="0" customWidth="1"/>
    <x:col min="4" max="4" width="18" hidden="0" customWidth="1"/>
    <x:col min="5" max="5" width="18" hidden="0" customWidth="1"/>
    <x:col min="6" max="6" width="18" hidden="0" customWidth="1"/>
    <x:col min="7" max="7" width="26" hidden="0" customWidth="1"/>
    <x:col min="8" max="8" width="14" hidden="0" customWidth="1"/>
    <x:col min="9" max="9" width="18" hidden="0" customWidth="1"/>
  </x:cols>
  <x:sheetData>
    <x:row r="1">
      <x:c r="A1" s="127" t="str">
        <x:v>10C_化粧カバー見付｜既設枠見付から候補判定</x:v>
      </x:c>
      <x:c r="B1" s="127"/>
      <x:c r="C1" s="127"/>
      <x:c r="D1" s="127"/>
      <x:c r="E1" s="127"/>
      <x:c r="F1" s="127"/>
      <x:c r="G1" s="127"/>
      <x:c r="H1" s="127"/>
      <x:c r="I1" s="127"/>
    </x:row>
    <x:row r="2" ht="34" customHeight="1">
      <x:c r="A2" s="133" t="str">
        <x:v>特小は既設シャッター付・雨戸付など室外から取付けできない場合の選択肢。個々の既設納まりにより現調確認を残す。</x:v>
      </x:c>
      <x:c r="B2" s="133"/>
      <x:c r="C2" s="133"/>
      <x:c r="D2" s="133"/>
      <x:c r="E2" s="133"/>
      <x:c r="F2" s="133"/>
      <x:c r="G2" s="133"/>
      <x:c r="H2" s="133"/>
      <x:c r="I2" s="133"/>
    </x:row>
    <x:row r="4">
      <x:c r="A4" s="141" t="str">
        <x:v>rule_id</x:v>
      </x:c>
      <x:c r="B4" s="142" t="str">
        <x:v>frame_type_id</x:v>
      </x:c>
      <x:c r="C4" s="142" t="str">
        <x:v>cover_type</x:v>
      </x:c>
      <x:c r="D4" s="142" t="str">
        <x:v>上枠見付</x:v>
      </x:c>
      <x:c r="E4" s="142" t="str">
        <x:v>下枠見付</x:v>
      </x:c>
      <x:c r="F4" s="142" t="str">
        <x:v>縦枠見付</x:v>
      </x:c>
      <x:c r="G4" s="142" t="str">
        <x:v>施工区分</x:v>
      </x:c>
      <x:c r="H4" s="142" t="str">
        <x:v>status</x:v>
      </x:c>
      <x:c r="I4" s="143" t="str">
        <x:v>evidence</x:v>
      </x:c>
    </x:row>
    <x:row r="5">
      <x:c r="A5" s="144" t="str">
        <x:v>COV-STD-LARGE</x:v>
      </x:c>
      <x:c r="B5" s="145" t="str">
        <x:v>RPL_STD</x:v>
      </x:c>
      <x:c r="C5" s="145" t="str">
        <x:v>大</x:v>
      </x:c>
      <x:c r="D5" s="145" t="str">
        <x:v>上枠≤84.5</x:v>
      </x:c>
      <x:c r="E5" s="145" t="str">
        <x:v>下枠≤98.5</x:v>
      </x:c>
      <x:c r="F5" s="145" t="str">
        <x:v>縦枠≤82.5</x:v>
      </x:c>
      <x:c r="G5" s="145" t="str">
        <x:v>標準施工</x:v>
      </x:c>
      <x:c r="H5" s="145" t="str">
        <x:v>COMPLETE</x:v>
      </x:c>
      <x:c r="I5" s="146" t="str">
        <x:v>EV-019</x:v>
      </x:c>
    </x:row>
    <x:row r="6">
      <x:c r="A6" s="144" t="str">
        <x:v>COV-STD-LARGE-V-MID</x:v>
      </x:c>
      <x:c r="B6" s="145" t="str">
        <x:v>RPL_STD</x:v>
      </x:c>
      <x:c r="C6" s="145" t="str">
        <x:v>大（縦のみ中）</x:v>
      </x:c>
      <x:c r="D6" s="145" t="str">
        <x:v>上枠≤84.5</x:v>
      </x:c>
      <x:c r="E6" s="145" t="str">
        <x:v>下枠≤98.5</x:v>
      </x:c>
      <x:c r="F6" s="145" t="str">
        <x:v>縦枠≤32.5</x:v>
      </x:c>
      <x:c r="G6" s="145" t="str">
        <x:v>標準施工</x:v>
      </x:c>
      <x:c r="H6" s="145" t="str">
        <x:v>COMPLETE</x:v>
      </x:c>
      <x:c r="I6" s="146" t="str">
        <x:v>EV-019</x:v>
      </x:c>
    </x:row>
    <x:row r="7">
      <x:c r="A7" s="144" t="str">
        <x:v>COV-STD-MID</x:v>
      </x:c>
      <x:c r="B7" s="145" t="str">
        <x:v>RPL_STD</x:v>
      </x:c>
      <x:c r="C7" s="145" t="str">
        <x:v>中</x:v>
      </x:c>
      <x:c r="D7" s="145" t="str">
        <x:v>上枠≤49.5</x:v>
      </x:c>
      <x:c r="E7" s="145" t="str">
        <x:v>下枠≤63.5</x:v>
      </x:c>
      <x:c r="F7" s="145" t="str">
        <x:v>縦枠≤32.5</x:v>
      </x:c>
      <x:c r="G7" s="145" t="str">
        <x:v>標準施工</x:v>
      </x:c>
      <x:c r="H7" s="145" t="str">
        <x:v>COMPLETE</x:v>
      </x:c>
      <x:c r="I7" s="146" t="str">
        <x:v>EV-019</x:v>
      </x:c>
    </x:row>
    <x:row r="8">
      <x:c r="A8" s="144" t="str">
        <x:v>COV-STD-MID-V-LARGE</x:v>
      </x:c>
      <x:c r="B8" s="145" t="str">
        <x:v>RPL_STD</x:v>
      </x:c>
      <x:c r="C8" s="145" t="str">
        <x:v>中（縦のみ大）</x:v>
      </x:c>
      <x:c r="D8" s="145" t="str">
        <x:v>上枠≤49.5</x:v>
      </x:c>
      <x:c r="E8" s="145" t="str">
        <x:v>下枠≤63.5</x:v>
      </x:c>
      <x:c r="F8" s="145" t="str">
        <x:v>縦枠≤82.5</x:v>
      </x:c>
      <x:c r="G8" s="145" t="str">
        <x:v>標準施工</x:v>
      </x:c>
      <x:c r="H8" s="145" t="str">
        <x:v>COMPLETE</x:v>
      </x:c>
      <x:c r="I8" s="146" t="str">
        <x:v>EV-019</x:v>
      </x:c>
    </x:row>
    <x:row r="9">
      <x:c r="A9" s="144" t="str">
        <x:v>COV-STD-SMALL</x:v>
      </x:c>
      <x:c r="B9" s="145" t="str">
        <x:v>RPL_STD</x:v>
      </x:c>
      <x:c r="C9" s="145" t="str">
        <x:v>小</x:v>
      </x:c>
      <x:c r="D9" s="145" t="str">
        <x:v>上枠≤24.5</x:v>
      </x:c>
      <x:c r="E9" s="145" t="str">
        <x:v>下枠≤38.5</x:v>
      </x:c>
      <x:c r="F9" s="145" t="str">
        <x:v>縦枠≤7.5</x:v>
      </x:c>
      <x:c r="G9" s="145" t="str">
        <x:v>標準施工/内嵌め候補</x:v>
      </x:c>
      <x:c r="H9" s="145" t="str">
        <x:v>COMPLETE</x:v>
      </x:c>
      <x:c r="I9" s="146" t="str">
        <x:v>EV-019</x:v>
      </x:c>
    </x:row>
    <x:row r="10">
      <x:c r="A10" s="144" t="str">
        <x:v>COV-STD-SMALL-B-MID</x:v>
      </x:c>
      <x:c r="B10" s="145" t="str">
        <x:v>RPL_STD</x:v>
      </x:c>
      <x:c r="C10" s="145" t="str">
        <x:v>小（下のみ中）</x:v>
      </x:c>
      <x:c r="D10" s="145" t="str">
        <x:v>上枠≤24.5</x:v>
      </x:c>
      <x:c r="E10" s="145" t="str">
        <x:v>下枠≤63.5</x:v>
      </x:c>
      <x:c r="F10" s="145" t="str">
        <x:v>縦枠≤7.5</x:v>
      </x:c>
      <x:c r="G10" s="145" t="str">
        <x:v>内嵌め候補</x:v>
      </x:c>
      <x:c r="H10" s="145" t="str">
        <x:v>COMPLETE</x:v>
      </x:c>
      <x:c r="I10" s="146" t="str">
        <x:v>EV-019</x:v>
      </x:c>
    </x:row>
    <x:row r="11">
      <x:c r="A11" s="144" t="str">
        <x:v>COV-BRG-LARGE</x:v>
      </x:c>
      <x:c r="B11" s="145" t="str">
        <x:v>RPL_BRIDGE</x:v>
      </x:c>
      <x:c r="C11" s="145" t="str">
        <x:v>大</x:v>
      </x:c>
      <x:c r="D11" s="145" t="str">
        <x:v>上枠≤84.5</x:v>
      </x:c>
      <x:c r="E11" s="145" t="str">
        <x:v>下枠≤93.5</x:v>
      </x:c>
      <x:c r="F11" s="145" t="str">
        <x:v>縦枠≤82.5</x:v>
      </x:c>
      <x:c r="G11" s="145" t="str">
        <x:v>標準施工</x:v>
      </x:c>
      <x:c r="H11" s="145" t="str">
        <x:v>COMPLETE</x:v>
      </x:c>
      <x:c r="I11" s="146" t="str">
        <x:v>EV-019</x:v>
      </x:c>
    </x:row>
    <x:row r="12">
      <x:c r="A12" s="144" t="str">
        <x:v>COV-BRG-LARGE-V-MID</x:v>
      </x:c>
      <x:c r="B12" s="145" t="str">
        <x:v>RPL_BRIDGE</x:v>
      </x:c>
      <x:c r="C12" s="145" t="str">
        <x:v>大（縦のみ中）</x:v>
      </x:c>
      <x:c r="D12" s="145" t="str">
        <x:v>上枠≤84.5</x:v>
      </x:c>
      <x:c r="E12" s="145" t="str">
        <x:v>下枠≤93.5</x:v>
      </x:c>
      <x:c r="F12" s="145" t="str">
        <x:v>縦枠≤32.5</x:v>
      </x:c>
      <x:c r="G12" s="145" t="str">
        <x:v>標準施工</x:v>
      </x:c>
      <x:c r="H12" s="145" t="str">
        <x:v>COMPLETE</x:v>
      </x:c>
      <x:c r="I12" s="146" t="str">
        <x:v>EV-019</x:v>
      </x:c>
    </x:row>
    <x:row r="13">
      <x:c r="A13" s="144" t="str">
        <x:v>COV-BRG-MID</x:v>
      </x:c>
      <x:c r="B13" s="145" t="str">
        <x:v>RPL_BRIDGE</x:v>
      </x:c>
      <x:c r="C13" s="145" t="str">
        <x:v>中</x:v>
      </x:c>
      <x:c r="D13" s="145" t="str">
        <x:v>上枠≤49.5</x:v>
      </x:c>
      <x:c r="E13" s="145" t="str">
        <x:v>下枠≤58.5</x:v>
      </x:c>
      <x:c r="F13" s="145" t="str">
        <x:v>縦枠≤32.5</x:v>
      </x:c>
      <x:c r="G13" s="145" t="str">
        <x:v>標準施工</x:v>
      </x:c>
      <x:c r="H13" s="145" t="str">
        <x:v>COMPLETE</x:v>
      </x:c>
      <x:c r="I13" s="146" t="str">
        <x:v>EV-019</x:v>
      </x:c>
    </x:row>
    <x:row r="14">
      <x:c r="A14" s="144" t="str">
        <x:v>COV-BRG-MID-V-LARGE</x:v>
      </x:c>
      <x:c r="B14" s="145" t="str">
        <x:v>RPL_BRIDGE</x:v>
      </x:c>
      <x:c r="C14" s="145" t="str">
        <x:v>中（縦のみ大）</x:v>
      </x:c>
      <x:c r="D14" s="145" t="str">
        <x:v>上枠≤49.5</x:v>
      </x:c>
      <x:c r="E14" s="145" t="str">
        <x:v>下枠≤58.5</x:v>
      </x:c>
      <x:c r="F14" s="145" t="str">
        <x:v>縦枠≤82.5</x:v>
      </x:c>
      <x:c r="G14" s="145" t="str">
        <x:v>標準施工</x:v>
      </x:c>
      <x:c r="H14" s="145" t="str">
        <x:v>COMPLETE</x:v>
      </x:c>
      <x:c r="I14" s="146" t="str">
        <x:v>EV-019</x:v>
      </x:c>
    </x:row>
    <x:row r="15">
      <x:c r="A15" s="144" t="str">
        <x:v>COV-BRG-SMALL</x:v>
      </x:c>
      <x:c r="B15" s="145" t="str">
        <x:v>RPL_BRIDGE</x:v>
      </x:c>
      <x:c r="C15" s="145" t="str">
        <x:v>小</x:v>
      </x:c>
      <x:c r="D15" s="145" t="str">
        <x:v>上枠≤24.5</x:v>
      </x:c>
      <x:c r="E15" s="145" t="str">
        <x:v>下枠≤33.5</x:v>
      </x:c>
      <x:c r="F15" s="145" t="str">
        <x:v>縦枠≤7.5</x:v>
      </x:c>
      <x:c r="G15" s="145" t="str">
        <x:v>標準施工/内嵌め候補</x:v>
      </x:c>
      <x:c r="H15" s="145" t="str">
        <x:v>COMPLETE</x:v>
      </x:c>
      <x:c r="I15" s="146" t="str">
        <x:v>EV-019</x:v>
      </x:c>
    </x:row>
    <x:row r="16">
      <x:c r="A16" s="147" t="str">
        <x:v>COV-BRG-SMALL-B-MID</x:v>
      </x:c>
      <x:c r="B16" s="148" t="str">
        <x:v>RPL_BRIDGE</x:v>
      </x:c>
      <x:c r="C16" s="148" t="str">
        <x:v>小（下のみ中）</x:v>
      </x:c>
      <x:c r="D16" s="148" t="str">
        <x:v>上枠≤24.5</x:v>
      </x:c>
      <x:c r="E16" s="148" t="str">
        <x:v>下枠≤58.5</x:v>
      </x:c>
      <x:c r="F16" s="148" t="str">
        <x:v>縦枠≤7.5</x:v>
      </x:c>
      <x:c r="G16" s="148" t="str">
        <x:v>内嵌め候補</x:v>
      </x:c>
      <x:c r="H16" s="148" t="str">
        <x:v>COMPLETE</x:v>
      </x:c>
      <x:c r="I16" s="149" t="str">
        <x:v>EV-019</x:v>
      </x:c>
    </x:row>
  </x:sheetData>
  <x:mergeCells>
    <x:mergeCell ref="A1:I1"/>
    <x:mergeCell ref="A2:I2"/>
  </x:mergeCells>
  <x:pageMargins left="0.7" right="0.7" top="0.75" bottom="0.75" header="0.3" footer="0.3"/>
</x:worksheet>
</file>