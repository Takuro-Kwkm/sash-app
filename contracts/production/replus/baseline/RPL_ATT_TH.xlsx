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df8bf861a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0_Evidence" sheetId="1" r:id="R2b6e6ed7bada442f"/>
    <x:sheet xmlns:r="http://schemas.openxmlformats.org/officeDocument/2006/relationships" name="00_INDEX" sheetId="2" r:id="R4dd48d2db36d46c8"/>
    <x:sheet xmlns:r="http://schemas.openxmlformats.org/officeDocument/2006/relationships" name="00_README" sheetId="3" r:id="R1c1dea0e288d4d4c"/>
    <x:sheet xmlns:r="http://schemas.openxmlformats.org/officeDocument/2006/relationships" name="01_入力フロー" sheetId="4" r:id="R272ff3e1e3534a7d"/>
    <x:sheet xmlns:r="http://schemas.openxmlformats.org/officeDocument/2006/relationships" name="02_取替方式" sheetId="5" r:id="R2f83c62ea1904f4d"/>
    <x:sheet xmlns:r="http://schemas.openxmlformats.org/officeDocument/2006/relationships" name="02A_仕様区分" sheetId="6" r:id="R5e733d38c08b42fd"/>
    <x:sheet xmlns:r="http://schemas.openxmlformats.org/officeDocument/2006/relationships" name="03_窓種" sheetId="7" r:id="R69b3d3c4b9504f57"/>
    <x:sheet xmlns:r="http://schemas.openxmlformats.org/officeDocument/2006/relationships" name="03A_枠仕様" sheetId="8" r:id="R5a090c82d70a42cd"/>
    <x:sheet xmlns:r="http://schemas.openxmlformats.org/officeDocument/2006/relationships" name="03B_窓種枠設定" sheetId="9" r:id="Rcfa3a0a0edd147b9"/>
    <x:sheet xmlns:r="http://schemas.openxmlformats.org/officeDocument/2006/relationships" name="04_窓種固有仕様" sheetId="10" r:id="Ra9a4974142d64386"/>
    <x:sheet xmlns:r="http://schemas.openxmlformats.org/officeDocument/2006/relationships" name="05_サイズルール" sheetId="11" r:id="R985f115631254d86"/>
    <x:sheet xmlns:r="http://schemas.openxmlformats.org/officeDocument/2006/relationships" name="05A_サイズ区間" sheetId="12" r:id="R83f6f4860db1464c"/>
    <x:sheet xmlns:r="http://schemas.openxmlformats.org/officeDocument/2006/relationships" name="05B_境界ルール" sheetId="13" r:id="R56cd6145e3c04c44"/>
    <x:sheet xmlns:r="http://schemas.openxmlformats.org/officeDocument/2006/relationships" name="06_色" sheetId="14" r:id="R0288233248c84f1e"/>
    <x:sheet xmlns:r="http://schemas.openxmlformats.org/officeDocument/2006/relationships" name="06A_色適用条件" sheetId="15" r:id="Re12bb10f737d40dd"/>
    <x:sheet xmlns:r="http://schemas.openxmlformats.org/officeDocument/2006/relationships" name="07_網戸" sheetId="16" r:id="R3444f7a787604510"/>
    <x:sheet xmlns:r="http://schemas.openxmlformats.org/officeDocument/2006/relationships" name="07A_網戸適用条件" sheetId="17" r:id="R5651d1f3491145de"/>
    <x:sheet xmlns:r="http://schemas.openxmlformats.org/officeDocument/2006/relationships" name="08_ガラス" sheetId="18" r:id="R35456ba997884500"/>
    <x:sheet xmlns:r="http://schemas.openxmlformats.org/officeDocument/2006/relationships" name="08A_ガラス適用条件" sheetId="19" r:id="Rb944e66ab8b043c3"/>
    <x:sheet xmlns:r="http://schemas.openxmlformats.org/officeDocument/2006/relationships" name="09_その他OP" sheetId="20" r:id="Reaac98e3de13430a"/>
    <x:sheet xmlns:r="http://schemas.openxmlformats.org/officeDocument/2006/relationships" name="09A_OP依存関係" sheetId="21" r:id="Re81979da90f9481f"/>
    <x:sheet xmlns:r="http://schemas.openxmlformats.org/officeDocument/2006/relationships" name="10_適用条件" sheetId="22" r:id="Rbcb5d791d6614268"/>
    <x:sheet xmlns:r="http://schemas.openxmlformats.org/officeDocument/2006/relationships" name="10A_既設窓互換" sheetId="23" r:id="R78119a376b004a3e"/>
    <x:sheet xmlns:r="http://schemas.openxmlformats.org/officeDocument/2006/relationships" name="10B_現調項目" sheetId="24" r:id="R7d00c7b2c75c4c05"/>
    <x:sheet xmlns:r="http://schemas.openxmlformats.org/officeDocument/2006/relationships" name="99_QA" sheetId="25" r:id="Raac614bf84584871"/>
    <x:sheet xmlns:r="http://schemas.openxmlformats.org/officeDocument/2006/relationships" name="04A_開口構成" sheetId="26" r:id="R874b6fc902ca49ee"/>
    <x:sheet xmlns:r="http://schemas.openxmlformats.org/officeDocument/2006/relationships" name="11_見積入力テスト" sheetId="27" r:id="Re299fc62d7274adb"/>
    <x:sheet xmlns:r="http://schemas.openxmlformats.org/officeDocument/2006/relationships" name="10C_化粧カバー見付" sheetId="28" r:id="R37f3a0b9ef08489f"/>
    <x:sheet xmlns:r="http://schemas.openxmlformats.org/officeDocument/2006/relationships" name="02B_参照商品" sheetId="29" r:id="R2c486cecd873439e"/>
    <x:sheet xmlns:r="http://schemas.openxmlformats.org/officeDocument/2006/relationships" name="02C_新設サッシ手配方式" sheetId="30" r:id="Rd1eb13f484ca4237"/>
    <x:sheet xmlns:r="http://schemas.openxmlformats.org/officeDocument/2006/relationships" name="03C_対応サーモス窓種" sheetId="31" r:id="Rae90d07059364f24"/>
    <x:sheet xmlns:r="http://schemas.openxmlformats.org/officeDocument/2006/relationships" name="03D_サーモス参照制限" sheetId="32" r:id="R096c7adca96149e0"/>
    <x:sheet xmlns:r="http://schemas.openxmlformats.org/officeDocument/2006/relationships" name="05C_寸法変換" sheetId="33" r:id="R525f69380852497b"/>
    <x:sheet xmlns:r="http://schemas.openxmlformats.org/officeDocument/2006/relationships" name="12_共通参照" sheetId="34" r:id="R7af534a981d14c8d"/>
    <x:sheet xmlns:r="http://schemas.openxmlformats.org/officeDocument/2006/relationships" name="02D_対応シリーズ" sheetId="35" r:id="R0774209512b74aa8"/>
    <x:sheet xmlns:r="http://schemas.openxmlformats.org/officeDocument/2006/relationships" name="12A_ATT_TW比較" sheetId="36" r:id="R3603ed6ba51543df"/>
    <x:sheet xmlns:r="http://schemas.openxmlformats.org/officeDocument/2006/relationships" name="13_参照整合性監査" sheetId="37" r:id="R42ed65090b1d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i/>
      <x:sz val="9"/>
      <x:name val="Carlito"/>
    </x:font>
    <x:font>
      <x:b/>
      <x:sz val="9"/>
      <x:color rgb="FFFFFFFF"/>
      <x:name val="Carlito"/>
    </x:font>
    <x:font>
      <x:b/>
      <x:sz val="9"/>
      <x:color rgb="FF1F2937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3F7F8"/>
      </x:patternFill>
    </x:fill>
    <x:fill>
      <x:patternFill patternType="solid">
        <x:fgColor rgb="FF1F4E5F"/>
      </x:patternFill>
    </x:fill>
    <x:fill>
      <x:patternFill patternType="solid">
        <x:fgColor rgb="FF2F6B7C"/>
      </x:patternFill>
    </x:fill>
  </x:fills>
  <x:borders count="4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18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2" xfId="0" applyNumberFormat="1" applyFont="1" applyFill="1" applyBorder="1"/>
    <x:xf numFmtId="0" fontId="3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10" borderId="20" xfId="0" applyNumberFormat="1" applyFont="1" applyFill="1" applyBorder="1" applyAlignment="1">
      <x:alignment horizontal="center" vertical="center" wrapText="1"/>
    </x:xf>
    <x:xf numFmtId="0" fontId="3" fillId="10" borderId="21" xfId="0" applyNumberFormat="1" applyFont="1" applyFill="1" applyBorder="1" applyAlignment="1">
      <x:alignment horizontal="center" vertical="center" wrapText="1"/>
    </x:xf>
    <x:xf numFmtId="0" fontId="3" fillId="10" borderId="22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27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7" borderId="27" xfId="0" applyNumberFormat="1" applyFont="1" applyFill="1" applyBorder="1" applyAlignment="1">
      <x:alignment vertical="top" wrapText="1"/>
    </x:xf>
    <x:xf numFmtId="0" fontId="4" fillId="11" borderId="24" xfId="0" applyNumberFormat="1" applyFont="1" applyFill="1" applyBorder="1" applyAlignment="1">
      <x:alignment vertical="top" wrapText="1"/>
    </x:xf>
    <x:xf numFmtId="0" fontId="4" fillId="12" borderId="24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29" xfId="0" applyNumberFormat="1" applyFont="1" applyFill="1" applyBorder="1" applyAlignment="1">
      <x:alignment horizontal="center" vertical="center" wrapText="1"/>
    </x:xf>
    <x:xf numFmtId="0" fontId="3" fillId="16" borderId="30" xfId="0" applyNumberFormat="1" applyFont="1" applyFill="1" applyBorder="1" applyAlignment="1">
      <x:alignment horizontal="center" vertical="center" wrapText="1"/>
    </x:xf>
    <x:xf numFmtId="0" fontId="3" fillId="16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vertical="top" wrapText="1"/>
    </x:xf>
    <x:xf numFmtId="0" fontId="4" fillId="0" borderId="33" xfId="0" applyNumberFormat="1" applyFont="1" applyFill="1" applyBorder="1" applyAlignment="1">
      <x:alignment vertical="top" wrapText="1"/>
    </x:xf>
    <x:xf numFmtId="0" fontId="4" fillId="0" borderId="34" xfId="0" applyNumberFormat="1" applyFont="1" applyFill="1" applyBorder="1" applyAlignment="1">
      <x:alignment vertical="top" wrapText="1"/>
    </x:xf>
    <x:xf numFmtId="0" fontId="4" fillId="0" borderId="35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4" fillId="0" borderId="3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32" xfId="0" applyNumberFormat="1" applyFont="1" applyFill="1" applyBorder="1" applyAlignment="1">
      <x:alignment horizontal="center" vertical="top" wrapText="1"/>
    </x:xf>
    <x:xf numFmtId="0" fontId="7" fillId="4" borderId="34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3" xfId="0" applyNumberFormat="1" applyFont="1" applyFill="1" applyBorder="1" applyAlignment="1">
      <x:alignment horizontal="center" vertical="top" wrapText="1"/>
    </x:xf>
    <x:xf numFmtId="200" fontId="4" fillId="0" borderId="34" xfId="0" applyNumberFormat="1" applyFont="1" applyFill="1" applyBorder="1" applyAlignment="1">
      <x:alignment vertical="top" wrapText="1"/>
    </x:xf>
    <x:xf numFmtId="200" fontId="4" fillId="0" borderId="37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6" fillId="16" borderId="29" xfId="0" applyNumberFormat="1" applyFont="1" applyFill="1" applyBorder="1" applyAlignment="1">
      <x:alignment horizontal="center" vertical="center" wrapText="1"/>
    </x:xf>
    <x:xf numFmtId="0" fontId="6" fillId="16" borderId="30" xfId="0" applyNumberFormat="1" applyFont="1" applyFill="1" applyBorder="1" applyAlignment="1">
      <x:alignment horizontal="center" vertical="center" wrapText="1"/>
    </x:xf>
    <x:xf numFmtId="0" fontId="6" fillId="16" borderId="31" xfId="0" applyNumberFormat="1" applyFont="1" applyFill="1" applyBorder="1" applyAlignment="1">
      <x:alignment horizontal="center" vertical="center"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0" fontId="7" fillId="4" borderId="20" xfId="0" applyNumberFormat="1" applyFont="1" applyFill="1" applyBorder="1" applyAlignment="1">
      <x:alignment horizontal="center" vertical="top" wrapText="1"/>
    </x:xf>
    <x:xf numFmtId="0" fontId="7" fillId="4" borderId="35" xfId="0" applyNumberFormat="1" applyFont="1" applyFill="1" applyBorder="1" applyAlignment="1">
      <x:alignment horizontal="center" vertical="top" wrapText="1"/>
    </x:xf>
    <x:xf numFmtId="0" fontId="7" fillId="4" borderId="36" xfId="0" applyNumberFormat="1" applyFont="1" applyFill="1" applyBorder="1" applyAlignment="1">
      <x:alignment horizontal="center" vertical="top" wrapText="1"/>
    </x:xf>
    <x:xf numFmtId="0" fontId="7" fillId="4" borderId="37" xfId="0" applyNumberFormat="1" applyFont="1" applyFill="1" applyBorder="1" applyAlignment="1">
      <x:alignment horizontal="center" vertical="top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</x:xf>
    <x:xf numFmtId="0" fontId="6" fillId="16" borderId="20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12" borderId="20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5" borderId="33" xfId="0" applyNumberFormat="1" applyFont="1" applyFill="1" applyBorder="1" applyAlignment="1">
      <x:alignment vertical="top" wrapText="1"/>
    </x:xf>
    <x:xf numFmtId="0" fontId="4" fillId="12" borderId="33" xfId="0" applyNumberFormat="1" applyFont="1" applyFill="1" applyBorder="1" applyAlignment="1">
      <x:alignment vertical="top" wrapText="1"/>
    </x:xf>
    <x:xf numFmtId="0" fontId="4" fillId="7" borderId="33" xfId="0" applyNumberFormat="1" applyFont="1" applyFill="1" applyBorder="1" applyAlignment="1">
      <x:alignment vertical="top" wrapText="1"/>
    </x:xf>
    <x:xf numFmtId="0" fontId="4" fillId="17" borderId="33" xfId="0" applyNumberFormat="1" applyFont="1" applyFill="1" applyBorder="1" applyAlignment="1">
      <x:alignment vertical="top" wrapText="1"/>
    </x:xf>
    <x:xf numFmtId="0" fontId="4" fillId="18" borderId="33" xfId="0" applyNumberFormat="1" applyFont="1" applyFill="1" applyBorder="1" applyAlignment="1">
      <x:alignment vertical="top" wrapText="1"/>
    </x:xf>
    <x:xf numFmtId="0" fontId="4" fillId="19" borderId="36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vertical="center"/>
    </x:xf>
    <x:xf numFmtId="0" fontId="2" fillId="21" borderId="0" xfId="0" applyNumberFormat="1" applyFont="1" applyFill="1" applyBorder="1" applyAlignment="1">
      <x:alignment vertical="center" wrapText="1"/>
    </x:xf>
    <x:xf numFmtId="0" fontId="3" fillId="22" borderId="29" xfId="0" applyNumberFormat="1" applyFont="1" applyFill="1" applyBorder="1" applyAlignment="1">
      <x:alignment horizontal="center" vertical="center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4" fillId="0" borderId="29" xfId="0" applyNumberFormat="1" applyFont="1" applyFill="1" applyBorder="1" applyAlignment="1">
      <x:alignment vertical="top" wrapText="1"/>
    </x:xf>
    <x:xf numFmtId="0" fontId="3" fillId="22" borderId="38" xfId="0" applyNumberFormat="1" applyFont="1" applyFill="1" applyBorder="1" applyAlignment="1">
      <x:alignment horizontal="center" vertical="center" wrapText="1"/>
    </x:xf>
    <x:xf numFmtId="0" fontId="3" fillId="22" borderId="39" xfId="0" applyNumberFormat="1" applyFont="1" applyFill="1" applyBorder="1" applyAlignment="1">
      <x:alignment horizontal="center" vertical="center" wrapText="1"/>
    </x:xf>
    <x:xf numFmtId="0" fontId="3" fillId="22" borderId="40" xfId="0" applyNumberFormat="1" applyFont="1" applyFill="1" applyBorder="1" applyAlignment="1">
      <x:alignment horizontal="center" vertical="center" wrapText="1"/>
    </x:xf>
    <x:xf numFmtId="0" fontId="4" fillId="0" borderId="41" xfId="0" applyNumberFormat="1" applyFont="1" applyFill="1" applyBorder="1" applyAlignment="1">
      <x:alignment vertical="top" wrapText="1"/>
    </x:xf>
    <x:xf numFmtId="0" fontId="4" fillId="0" borderId="42" xfId="0" applyNumberFormat="1" applyFont="1" applyFill="1" applyBorder="1" applyAlignment="1">
      <x:alignment vertical="top" wrapText="1"/>
    </x:xf>
    <x:xf numFmtId="0" fontId="4" fillId="0" borderId="43" xfId="0" applyNumberFormat="1" applyFont="1" applyFill="1" applyBorder="1" applyAlignment="1">
      <x:alignment vertical="top" wrapText="1"/>
    </x:xf>
    <x:xf numFmtId="0" fontId="4" fillId="0" borderId="44" xfId="0" applyNumberFormat="1" applyFont="1" applyFill="1" applyBorder="1" applyAlignment="1">
      <x:alignment vertical="top" wrapText="1"/>
    </x:xf>
    <x:xf numFmtId="0" fontId="4" fillId="0" borderId="45" xfId="0" applyNumberFormat="1" applyFont="1" applyFill="1" applyBorder="1" applyAlignment="1">
      <x:alignment vertical="top" wrapText="1"/>
    </x:xf>
    <x:xf numFmtId="0" fontId="4" fillId="0" borderId="46" xfId="0" applyNumberFormat="1" applyFont="1" applyFill="1" applyBorder="1" applyAlignment="1">
      <x:alignment vertical="top" wrapText="1"/>
    </x:xf>
    <x:xf numFmtId="0" fontId="7" fillId="4" borderId="29" xfId="0" applyNumberFormat="1" applyFont="1" applyFill="1" applyBorder="1" applyAlignment="1">
      <x:alignment horizontal="center" vertical="top" wrapText="1"/>
    </x:xf>
    <x:xf numFmtId="0" fontId="7" fillId="4" borderId="41" xfId="0" applyNumberFormat="1" applyFont="1" applyFill="1" applyBorder="1" applyAlignment="1">
      <x:alignment horizontal="center" vertical="top" wrapText="1"/>
    </x:xf>
    <x:xf numFmtId="0" fontId="7" fillId="4" borderId="43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4" fillId="22" borderId="29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6" fillId="22" borderId="29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6" fillId="22" borderId="29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horizontal="center" wrapText="1"/>
    </x:xf>
    <x:xf numFmtId="0" fontId="6" fillId="22" borderId="29" xfId="0" applyNumberFormat="1" applyFont="1" applyFill="1" applyBorder="1" applyAlignment="1">
      <x:alignment horizontal="center" vertical="center" wrapText="1"/>
    </x:xf>
    <x:xf numFmtId="0" fontId="4" fillId="22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horizontal="center" vertical="top" wrapText="1"/>
    </x:xf>
    <x:xf numFmtId="0" fontId="6" fillId="22" borderId="0" xfId="0" applyNumberFormat="1" applyFont="1" applyFill="1" applyBorder="1" applyAlignment="1">
      <x:alignment horizontal="center" vertical="center" wrapText="1"/>
    </x:xf>
    <x:xf numFmtId="0" fontId="6" fillId="22" borderId="38" xfId="0" applyNumberFormat="1" applyFont="1" applyFill="1" applyBorder="1" applyAlignment="1">
      <x:alignment horizontal="center" vertical="center" wrapText="1"/>
    </x:xf>
    <x:xf numFmtId="0" fontId="6" fillId="22" borderId="39" xfId="0" applyNumberFormat="1" applyFont="1" applyFill="1" applyBorder="1" applyAlignment="1">
      <x:alignment horizontal="center" vertical="center" wrapText="1"/>
    </x:xf>
    <x:xf numFmtId="0" fontId="4" fillId="0" borderId="4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42" xfId="0" applyNumberFormat="1" applyFont="1" applyFill="1" applyBorder="1" applyAlignment="1">
      <x:alignment horizontal="center" vertical="top" wrapText="1"/>
    </x:xf>
    <x:xf numFmtId="0" fontId="4" fillId="0" borderId="2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2" borderId="40" xfId="0" applyNumberFormat="1" applyFont="1" applyFill="1" applyBorder="1" applyAlignment="1">
      <x:alignment horizontal="center" vertical="center" wrapText="1"/>
    </x:xf>
    <x:xf numFmtId="200" fontId="4" fillId="0" borderId="29" xfId="0" applyNumberFormat="1" applyFont="1" applyFill="1" applyBorder="1" applyAlignment="1">
      <x:alignment vertical="top" wrapText="1"/>
    </x:xf>
    <x:xf numFmtId="200" fontId="4" fillId="0" borderId="43" xfId="0" applyNumberFormat="1" applyFont="1" applyFill="1" applyBorder="1" applyAlignment="1">
      <x:alignment vertical="top" wrapText="1"/>
    </x:xf>
    <x:xf numFmtId="200" fontId="4" fillId="0" borderId="46" xfId="0" applyNumberFormat="1" applyFont="1" applyFill="1" applyBorder="1" applyAlignment="1">
      <x:alignment vertical="top" wrapText="1"/>
    </x:xf>
    <x:xf numFmtId="0" fontId="7" fillId="22" borderId="29" xfId="0" applyNumberFormat="1" applyFont="1" applyFill="1" applyBorder="1" applyAlignment="1">
      <x:alignment horizontal="center" vertical="top" wrapText="1"/>
    </x:xf>
    <x:xf numFmtId="0" fontId="7" fillId="22" borderId="0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12" borderId="29" xfId="0" applyNumberFormat="1" applyFont="1" applyFill="1" applyBorder="1" applyAlignment="1">
      <x:alignment vertical="top" wrapText="1"/>
    </x:xf>
    <x:xf numFmtId="0" fontId="4" fillId="7" borderId="29" xfId="0" applyNumberFormat="1" applyFont="1" applyFill="1" applyBorder="1" applyAlignment="1">
      <x:alignment vertical="top" wrapText="1"/>
    </x:xf>
    <x:xf numFmtId="0" fontId="4" fillId="5" borderId="42" xfId="0" applyNumberFormat="1" applyFont="1" applyFill="1" applyBorder="1" applyAlignment="1">
      <x:alignment vertical="top" wrapText="1"/>
    </x:xf>
    <x:xf numFmtId="0" fontId="4" fillId="12" borderId="42" xfId="0" applyNumberFormat="1" applyFont="1" applyFill="1" applyBorder="1" applyAlignment="1">
      <x:alignment vertical="top" wrapText="1"/>
    </x:xf>
    <x:xf numFmtId="0" fontId="4" fillId="7" borderId="42" xfId="0" applyNumberFormat="1" applyFont="1" applyFill="1" applyBorder="1" applyAlignment="1">
      <x:alignment vertical="top" wrapText="1"/>
    </x:xf>
    <x:xf numFmtId="0" fontId="4" fillId="23" borderId="42" xfId="0" applyNumberFormat="1" applyFont="1" applyFill="1" applyBorder="1" applyAlignment="1">
      <x:alignment vertical="top" wrapText="1"/>
    </x:xf>
    <x:xf numFmtId="0" fontId="4" fillId="24" borderId="42" xfId="0" applyNumberFormat="1" applyFont="1" applyFill="1" applyBorder="1" applyAlignment="1">
      <x:alignment vertical="top" wrapText="1"/>
    </x:xf>
    <x:xf numFmtId="0" fontId="4" fillId="25" borderId="42" xfId="0" applyNumberFormat="1" applyFont="1" applyFill="1" applyBorder="1" applyAlignment="1">
      <x:alignment vertical="top" wrapText="1"/>
    </x:xf>
    <x:xf numFmtId="0" fontId="4" fillId="25" borderId="45" xfId="0" applyNumberFormat="1" applyFont="1" applyFill="1" applyBorder="1" applyAlignment="1">
      <x:alignment vertical="top" wrapText="1"/>
    </x:xf>
    <x:xf numFmtId="0" fontId="5" fillId="21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200" fontId="0" fillId="29" borderId="0" xfId="0" applyNumberFormat="1" applyFont="1" applyFill="1" applyBorder="1" applyAlignment="1">
      <x:alignment wrapText="1"/>
    </x:xf>
    <x:xf numFmtId="200" fontId="3" fillId="29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b71ce88ff4078" /><Relationship Type="http://schemas.openxmlformats.org/officeDocument/2006/relationships/theme" Target="/xl/theme/theme1.xml" Id="R4e95e8ae24a24026" /><Relationship Type="http://schemas.microsoft.com/office/2022/11/relationships/FeaturePropertyBag" Target="/xl/featurePropertyBag/featurePropertyBag.xml" Id="R6910fd5f47f84f16" /><Relationship Type="http://schemas.openxmlformats.org/officeDocument/2006/relationships/sharedStrings" Target="/xl/sharedStrings.xml" Id="R05c3d013d2c84c35" /><Relationship Type="http://schemas.openxmlformats.org/officeDocument/2006/relationships/worksheet" Target="/xl/worksheets/sheet1.xml" Id="R2b6e6ed7bada442f" /><Relationship Type="http://schemas.openxmlformats.org/officeDocument/2006/relationships/worksheet" Target="/xl/worksheets/sheet2.xml" Id="R4dd48d2db36d46c8" /><Relationship Type="http://schemas.openxmlformats.org/officeDocument/2006/relationships/worksheet" Target="/xl/worksheets/sheet3.xml" Id="R1c1dea0e288d4d4c" /><Relationship Type="http://schemas.openxmlformats.org/officeDocument/2006/relationships/worksheet" Target="/xl/worksheets/sheet4.xml" Id="R272ff3e1e3534a7d" /><Relationship Type="http://schemas.openxmlformats.org/officeDocument/2006/relationships/worksheet" Target="/xl/worksheets/sheet5.xml" Id="R2f83c62ea1904f4d" /><Relationship Type="http://schemas.openxmlformats.org/officeDocument/2006/relationships/worksheet" Target="/xl/worksheets/sheet6.xml" Id="R5e733d38c08b42fd" /><Relationship Type="http://schemas.openxmlformats.org/officeDocument/2006/relationships/worksheet" Target="/xl/worksheets/sheet7.xml" Id="R69b3d3c4b9504f57" /><Relationship Type="http://schemas.openxmlformats.org/officeDocument/2006/relationships/worksheet" Target="/xl/worksheets/sheet8.xml" Id="R5a090c82d70a42cd" /><Relationship Type="http://schemas.openxmlformats.org/officeDocument/2006/relationships/worksheet" Target="/xl/worksheets/sheet9.xml" Id="Rcfa3a0a0edd147b9" /><Relationship Type="http://schemas.openxmlformats.org/officeDocument/2006/relationships/worksheet" Target="/xl/worksheets/sheet10.xml" Id="Ra9a4974142d64386" /><Relationship Type="http://schemas.openxmlformats.org/officeDocument/2006/relationships/worksheet" Target="/xl/worksheets/sheet11.xml" Id="R985f115631254d86" /><Relationship Type="http://schemas.openxmlformats.org/officeDocument/2006/relationships/worksheet" Target="/xl/worksheets/sheet12.xml" Id="R83f6f4860db1464c" /><Relationship Type="http://schemas.openxmlformats.org/officeDocument/2006/relationships/worksheet" Target="/xl/worksheets/sheet13.xml" Id="R56cd6145e3c04c44" /><Relationship Type="http://schemas.openxmlformats.org/officeDocument/2006/relationships/worksheet" Target="/xl/worksheets/sheet14.xml" Id="R0288233248c84f1e" /><Relationship Type="http://schemas.openxmlformats.org/officeDocument/2006/relationships/worksheet" Target="/xl/worksheets/sheet15.xml" Id="Re12bb10f737d40dd" /><Relationship Type="http://schemas.openxmlformats.org/officeDocument/2006/relationships/worksheet" Target="/xl/worksheets/sheet16.xml" Id="R3444f7a787604510" /><Relationship Type="http://schemas.openxmlformats.org/officeDocument/2006/relationships/worksheet" Target="/xl/worksheets/sheet17.xml" Id="R5651d1f3491145de" /><Relationship Type="http://schemas.openxmlformats.org/officeDocument/2006/relationships/worksheet" Target="/xl/worksheets/sheet18.xml" Id="R35456ba997884500" /><Relationship Type="http://schemas.openxmlformats.org/officeDocument/2006/relationships/worksheet" Target="/xl/worksheets/sheet19.xml" Id="Rb944e66ab8b043c3" /><Relationship Type="http://schemas.openxmlformats.org/officeDocument/2006/relationships/worksheet" Target="/xl/worksheets/sheet20.xml" Id="Reaac98e3de13430a" /><Relationship Type="http://schemas.openxmlformats.org/officeDocument/2006/relationships/worksheet" Target="/xl/worksheets/sheet21.xml" Id="Re81979da90f9481f" /><Relationship Type="http://schemas.openxmlformats.org/officeDocument/2006/relationships/worksheet" Target="/xl/worksheets/sheet22.xml" Id="Rbcb5d791d6614268" /><Relationship Type="http://schemas.openxmlformats.org/officeDocument/2006/relationships/worksheet" Target="/xl/worksheets/sheet23.xml" Id="R78119a376b004a3e" /><Relationship Type="http://schemas.openxmlformats.org/officeDocument/2006/relationships/worksheet" Target="/xl/worksheets/sheet24.xml" Id="R7d00c7b2c75c4c05" /><Relationship Type="http://schemas.openxmlformats.org/officeDocument/2006/relationships/worksheet" Target="/xl/worksheets/sheet25.xml" Id="Raac614bf84584871" /><Relationship Type="http://schemas.openxmlformats.org/officeDocument/2006/relationships/worksheet" Target="/xl/worksheets/sheet26.xml" Id="R874b6fc902ca49ee" /><Relationship Type="http://schemas.openxmlformats.org/officeDocument/2006/relationships/worksheet" Target="/xl/worksheets/sheet27.xml" Id="Re299fc62d7274adb" /><Relationship Type="http://schemas.openxmlformats.org/officeDocument/2006/relationships/worksheet" Target="/xl/worksheets/sheet28.xml" Id="R37f3a0b9ef08489f" /><Relationship Type="http://schemas.openxmlformats.org/officeDocument/2006/relationships/worksheet" Target="/xl/worksheets/sheet29.xml" Id="R2c486cecd873439e" /><Relationship Type="http://schemas.openxmlformats.org/officeDocument/2006/relationships/worksheet" Target="/xl/worksheets/sheet30.xml" Id="Rd1eb13f484ca4237" /><Relationship Type="http://schemas.openxmlformats.org/officeDocument/2006/relationships/worksheet" Target="/xl/worksheets/sheet31.xml" Id="Rae90d07059364f24" /><Relationship Type="http://schemas.openxmlformats.org/officeDocument/2006/relationships/worksheet" Target="/xl/worksheets/sheet32.xml" Id="R096c7adca96149e0" /><Relationship Type="http://schemas.openxmlformats.org/officeDocument/2006/relationships/worksheet" Target="/xl/worksheets/sheet33.xml" Id="R525f69380852497b" /><Relationship Type="http://schemas.openxmlformats.org/officeDocument/2006/relationships/worksheet" Target="/xl/worksheets/sheet34.xml" Id="R7af534a981d14c8d" /><Relationship Type="http://schemas.openxmlformats.org/officeDocument/2006/relationships/worksheet" Target="/xl/worksheets/sheet35.xml" Id="R0774209512b74aa8" /><Relationship Type="http://schemas.openxmlformats.org/officeDocument/2006/relationships/worksheet" Target="/xl/worksheets/sheet36.xml" Id="R3603ed6ba51543df" /><Relationship Type="http://schemas.openxmlformats.org/officeDocument/2006/relationships/worksheet" Target="/xl/worksheets/sheet37.xml" Id="R42ed65090b1d4e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52" hidden="0" customWidth="1"/>
    <x:col min="4" max="4" width="18" hidden="0" customWidth="1"/>
    <x:col min="5" max="5" width="40" hidden="0" customWidth="1"/>
    <x:col min="6" max="6" width="70" hidden="0" customWidth="1"/>
    <x:col min="7" max="7" width="14" hidden="0" customWidth="1"/>
    <x:col min="8" max="8" width="16" hidden="0" customWidth="1"/>
    <x:col min="9" max="9" width="104" hidden="0" customWidth="1"/>
  </x:cols>
  <x:sheetData>
    <x:row r="1" ht="28" customHeight="1">
      <x:c r="A1" s="236" t="str">
        <x:v>90_Evidence｜ATT-TH v1.1 根拠管理</x:v>
      </x:c>
      <x:c r="B1" s="236"/>
      <x:c r="C1" s="236"/>
      <x:c r="D1" s="236"/>
      <x:c r="E1" s="236"/>
      <x:c r="F1" s="236"/>
      <x:c r="G1" s="236"/>
      <x:c r="H1" s="236"/>
      <x:c r="I1" s="236"/>
    </x:row>
    <x:row r="2" ht="42" customHeight="1">
      <x:c r="A2" s="237" t="str">
        <x:v>2026-09-01 サーモスA v0.7正本を正式SSOT接続。旧EV-006は履歴として保持しEV-016で更新。</x:v>
      </x:c>
      <x:c r="B2" s="237"/>
      <x:c r="C2" s="237"/>
      <x:c r="D2" s="237"/>
      <x:c r="E2" s="237"/>
      <x:c r="F2" s="237"/>
      <x:c r="G2" s="237"/>
      <x:c r="H2" s="237"/>
      <x:c r="I2" s="237"/>
    </x:row>
    <x:row r="4" ht="30" customHeight="1">
      <x:c r="A4" s="241" t="str">
        <x:v>evidence_id</x:v>
      </x:c>
      <x:c r="B4" s="242" t="str">
        <x:v>情報源種別</x:v>
      </x:c>
      <x:c r="C4" s="242" t="str">
        <x:v>資料名</x:v>
      </x:c>
      <x:c r="D4" s="242" t="str">
        <x:v>発行年月</x:v>
      </x:c>
      <x:c r="E4" s="242" t="str">
        <x:v>ページ/箇所</x:v>
      </x:c>
      <x:c r="F4" s="242" t="str">
        <x:v>URL</x:v>
      </x:c>
      <x:c r="G4" s="242" t="str">
        <x:v>確認日</x:v>
      </x:c>
      <x:c r="H4" s="242" t="str">
        <x:v>確度</x:v>
      </x:c>
      <x:c r="I4" s="243" t="str">
        <x:v>根拠内容</x:v>
      </x:c>
    </x:row>
    <x:row r="5">
      <x:c r="A5" s="244" t="str">
        <x:v>ATT-TH-EV-001</x:v>
      </x:c>
      <x:c r="B5" s="245" t="str">
        <x:v>共通仕様</x:v>
      </x:c>
      <x:c r="C5" s="245" t="str">
        <x:v>サッシ商品マスター共通仕様書_v0.1</x:v>
      </x:c>
      <x:c r="D5" s="245" t="str">
        <x:v>2026-08-30更新</x:v>
      </x:c>
      <x:c r="E5" s="245" t="str">
        <x:v>§5,9,23-34</x:v>
      </x:c>
      <x:c r="F5" s="245" t="str">
        <x:v>https://docs.google.com/document/d/1MfixkbV1cZ__DtBknEKsix_nnrXQqjc-LZtXUHwJv_A/edit</x:v>
      </x:c>
      <x:c r="G5" s="245" t="str">
        <x:v>2026-08-31</x:v>
      </x:c>
      <x:c r="H5" s="245" t="str">
        <x:v>HIGH</x:v>
      </x:c>
      <x:c r="I5" s="246" t="str">
        <x:v>参照型商品マスター、Evidence、UI非表示、耐風圧特殊案件</x:v>
      </x:c>
    </x:row>
    <x:row r="6">
      <x:c r="A6" s="244" t="str">
        <x:v>ATT-TH-EV-002</x:v>
      </x:c>
      <x:c r="B6" s="245" t="str">
        <x:v>商品カタログ</x:v>
      </x:c>
      <x:c r="C6" s="245" t="str">
        <x:v>LIXIL リプラス 商品カタログ</x:v>
      </x:c>
      <x:c r="D6" s="245" t="str">
        <x:v>2025-08</x:v>
      </x:c>
      <x:c r="E6" s="245" t="str">
        <x:v>p36</x:v>
      </x:c>
      <x:c r="F6" s="245" t="str">
        <x:v>https://drive.google.com/file/d/1wH1nhmsftl6y8Mp7y6twtoXSi6rxqxzT/view</x:v>
      </x:c>
      <x:c r="G6" s="245" t="str">
        <x:v>2026-08-31</x:v>
      </x:c>
      <x:c r="H6" s="245" t="str">
        <x:v>HIGH</x:v>
      </x:c>
      <x:c r="I6" s="246" t="str">
        <x:v>ATT-TH概要、対応シリーズS2H/L/A、フィンカット、浴室不可、カバー/アングル色、樹脂/木製既設不可</x:v>
      </x:c>
    </x:row>
    <x:row r="7">
      <x:c r="A7" s="244" t="str">
        <x:v>ATT-TH-EV-003</x:v>
      </x:c>
      <x:c r="B7" s="245" t="str">
        <x:v>商品マスター正本</x:v>
      </x:c>
      <x:c r="C7" s="245" t="str">
        <x:v>サーモスⅡH_商品マスター_v0.7_完全完成版.xlsx</x:v>
      </x:c>
      <x:c r="D7" s="245" t="str">
        <x:v>現行正本</x:v>
      </x:c>
      <x:c r="E7" s="245" t="str">
        <x:v>02_シリーズ/03_窓種/04_窓種固有仕様/06_サイズ</x:v>
      </x:c>
      <x:c r="F7" s="245" t="str">
        <x:v>https://docs.google.com/spreadsheets/d/1zHi-XsMqJp0MKH-sDoTcnTqkLMGcuRdo/edit</x:v>
      </x:c>
      <x:c r="G7" s="245" t="str">
        <x:v>2026-08-31</x:v>
      </x:c>
      <x:c r="H7" s="245" t="str">
        <x:v>HIGH</x:v>
      </x:c>
      <x:c r="I7" s="246" t="str">
        <x:v>SER-LIX-SAMOS2H、正式window/spec ID、本体サイズ・色・網戸・ガラス・OPのSSOT</x:v>
      </x:c>
    </x:row>
    <x:row r="8">
      <x:c r="A8" s="244" t="str">
        <x:v>ATT-TH-EV-004</x:v>
      </x:c>
      <x:c r="B8" s="245" t="str">
        <x:v>商品カタログ</x:v>
      </x:c>
      <x:c r="C8" s="245" t="str">
        <x:v>LIXIL リプラス 商品カタログ</x:v>
      </x:c>
      <x:c r="D8" s="245" t="str">
        <x:v>2025-08</x:v>
      </x:c>
      <x:c r="E8" s="245" t="str">
        <x:v>p203</x:v>
      </x:c>
      <x:c r="F8" s="245" t="str">
        <x:v>https://drive.google.com/file/d/1wH1nhmsftl6y8Mp7y6twtoXSi6rxqxzT/view</x:v>
      </x:c>
      <x:c r="G8" s="245" t="str">
        <x:v>2026-08-31</x:v>
      </x:c>
      <x:c r="H8" s="245" t="str">
        <x:v>HIGH</x:v>
      </x:c>
      <x:c r="I8" s="246" t="str">
        <x:v>S2H/L/A別対応品種、全シリーズ別途手配＋フィンカット、連結ねじ必須、純正方立/無目不可</x:v>
      </x:c>
    </x:row>
    <x:row r="9">
      <x:c r="A9" s="244" t="str">
        <x:v>ATT-TH-EV-005</x:v>
      </x:c>
      <x:c r="B9" s="245" t="str">
        <x:v>商品マスター正本</x:v>
      </x:c>
      <x:c r="C9" s="245" t="str">
        <x:v>サーモスL_商品マスター_v0.7_特注寸法発注アプリ投入完成版_QA確定.xlsx</x:v>
      </x:c>
      <x:c r="D9" s="245" t="str">
        <x:v>現行正本</x:v>
      </x:c>
      <x:c r="E9" s="245" t="str">
        <x:v>02_シリーズ/03_窓種/04_窓種固有仕様/06_サイズ</x:v>
      </x:c>
      <x:c r="F9" s="245" t="str">
        <x:v>https://docs.google.com/spreadsheets/d/17lVzBZ1hp4RVcGv0yNdnrKt25SFO2FhL/edit</x:v>
      </x:c>
      <x:c r="G9" s="245" t="str">
        <x:v>2026-08-31</x:v>
      </x:c>
      <x:c r="H9" s="245" t="str">
        <x:v>HIGH</x:v>
      </x:c>
      <x:c r="I9" s="246" t="str">
        <x:v>SER-LIX-SAMOSL、正式window/spec ID、本体仕様SSOT</x:v>
      </x:c>
    </x:row>
    <x:row r="10">
      <x:c r="A10" s="244" t="str">
        <x:v>ATT-TH-EV-006</x:v>
      </x:c>
      <x:c r="B10" s="245" t="str">
        <x:v>Drive正本確認</x:v>
      </x:c>
      <x:c r="C10" s="245" t="str">
        <x:v>04_商品マスター/01_LIXIL</x:v>
      </x:c>
      <x:c r="D10" s="245" t="str">
        <x:v>2026-08-31</x:v>
      </x:c>
      <x:c r="E10" s="245" t="str">
        <x:v>フォルダ一覧</x:v>
      </x:c>
      <x:c r="F10" s="245" t="str">
        <x:v>https://drive.google.com/drive/folders/1TPaSG9ufcfOZISRXlvOW38JuUu01xqjH</x:v>
      </x:c>
      <x:c r="G10" s="245" t="str">
        <x:v>2026-08-31</x:v>
      </x:c>
      <x:c r="H10" s="245" t="str">
        <x:v>HIGH</x:v>
      </x:c>
      <x:c r="I10" s="246" t="str">
        <x:v>2026-08-31時点の履歴：当時サーモスA正本未存在。2026-09-01のATT-TH-EV-016でSUPERSEDED。</x:v>
      </x:c>
    </x:row>
    <x:row r="11">
      <x:c r="A11" s="244" t="str">
        <x:v>ATT-TH-EV-007</x:v>
      </x:c>
      <x:c r="B11" s="245" t="str">
        <x:v>商品カタログ</x:v>
      </x:c>
      <x:c r="C11" s="245" t="str">
        <x:v>LIXIL リプラス 商品カタログ</x:v>
      </x:c>
      <x:c r="D11" s="245" t="str">
        <x:v>2025-08</x:v>
      </x:c>
      <x:c r="E11" s="245" t="str">
        <x:v>p88価格表/p189基本寸法</x:v>
      </x:c>
      <x:c r="F11" s="245" t="str">
        <x:v>https://drive.google.com/file/d/1wH1nhmsftl6y8Mp7y6twtoXSi6rxqxzT/view</x:v>
      </x:c>
      <x:c r="G11" s="245" t="str">
        <x:v>2026-08-31</x:v>
      </x:c>
      <x:c r="H11" s="245" t="str">
        <x:v>HIGH</x:v>
      </x:c>
      <x:c r="I11" s="246" t="str">
        <x:v>WD=WS-10、HD=HS-10、Thermos_W=WS-38、Thermos_H=HS-39</x:v>
      </x:c>
    </x:row>
    <x:row r="12">
      <x:c r="A12" s="244" t="str">
        <x:v>ATT-TH-EV-008</x:v>
      </x:c>
      <x:c r="B12" s="245" t="str">
        <x:v>商品カタログ</x:v>
      </x:c>
      <x:c r="C12" s="245" t="str">
        <x:v>LIXIL リプラス 商品カタログ</x:v>
      </x:c>
      <x:c r="D12" s="245" t="str">
        <x:v>2025-08</x:v>
      </x:c>
      <x:c r="E12" s="245" t="str">
        <x:v>p196-210 現場調査</x:v>
      </x:c>
      <x:c r="F12" s="245" t="str">
        <x:v>https://drive.google.com/file/d/1wH1nhmsftl6y8Mp7y6twtoXSi6rxqxzT/view</x:v>
      </x:c>
      <x:c r="G12" s="245" t="str">
        <x:v>2026-08-31</x:v>
      </x:c>
      <x:c r="H12" s="245" t="str">
        <x:v>HIGH</x:v>
      </x:c>
      <x:c r="I12" s="246" t="str">
        <x:v>ATT-TW/TH共通の建物/既設窓/3点採寸/二重サッシ等</x:v>
      </x:c>
    </x:row>
    <x:row r="13">
      <x:c r="A13" s="244" t="str">
        <x:v>ATT-TH-EV-009</x:v>
      </x:c>
      <x:c r="B13" s="245" t="str">
        <x:v>商品カタログ</x:v>
      </x:c>
      <x:c r="C13" s="245" t="str">
        <x:v>LIXIL リプラス 商品カタログ</x:v>
      </x:c>
      <x:c r="D13" s="245" t="str">
        <x:v>2025-08</x:v>
      </x:c>
      <x:c r="E13" s="245" t="str">
        <x:v>p201</x:v>
      </x:c>
      <x:c r="F13" s="245" t="str">
        <x:v>https://drive.google.com/file/d/1wH1nhmsftl6y8Mp7y6twtoXSi6rxqxzT/view</x:v>
      </x:c>
      <x:c r="G13" s="245" t="str">
        <x:v>2026-08-31</x:v>
      </x:c>
      <x:c r="H13" s="245" t="str">
        <x:v>HIGH</x:v>
      </x:c>
      <x:c r="I13" s="246" t="str">
        <x:v>ATT-TH既設枠見込み寸法90mm以下</x:v>
      </x:c>
    </x:row>
    <x:row r="14">
      <x:c r="A14" s="244" t="str">
        <x:v>ATT-TH-EV-010</x:v>
      </x:c>
      <x:c r="B14" s="245" t="str">
        <x:v>商品カタログ</x:v>
      </x:c>
      <x:c r="C14" s="245" t="str">
        <x:v>LIXIL リプラス 商品カタログ</x:v>
      </x:c>
      <x:c r="D14" s="245" t="str">
        <x:v>2025-08</x:v>
      </x:c>
      <x:c r="E14" s="245" t="str">
        <x:v>p209</x:v>
      </x:c>
      <x:c r="F14" s="245" t="str">
        <x:v>https://drive.google.com/file/d/1wH1nhmsftl6y8Mp7y6twtoXSi6rxqxzT/view</x:v>
      </x:c>
      <x:c r="G14" s="245" t="str">
        <x:v>2026-08-31</x:v>
      </x:c>
      <x:c r="H14" s="245" t="str">
        <x:v>HIGH</x:v>
      </x:c>
      <x:c r="I14" s="246" t="str">
        <x:v>下枠補強金具34～53mm、min/max外スペーサー対応、装飾窓W&lt;=800は補強確認不要</x:v>
      </x:c>
    </x:row>
    <x:row r="15">
      <x:c r="A15" s="244" t="str">
        <x:v>ATT-TH-EV-011</x:v>
      </x:c>
      <x:c r="B15" s="245" t="str">
        <x:v>商品カタログ</x:v>
      </x:c>
      <x:c r="C15" s="245" t="str">
        <x:v>LIXIL リプラス 商品カタログ</x:v>
      </x:c>
      <x:c r="D15" s="245" t="str">
        <x:v>2025-08</x:v>
      </x:c>
      <x:c r="E15" s="245" t="str">
        <x:v>p211</x:v>
      </x:c>
      <x:c r="F15" s="245" t="str">
        <x:v>https://drive.google.com/file/d/1wH1nhmsftl6y8Mp7y6twtoXSi6rxqxzT/view</x:v>
      </x:c>
      <x:c r="G15" s="245" t="str">
        <x:v>2026-08-31</x:v>
      </x:c>
      <x:c r="H15" s="245" t="str">
        <x:v>HIGH</x:v>
      </x:c>
      <x:c r="I15" s="246" t="str">
        <x:v>ATT-TH化粧カバー見付 大71.5/96/34、中36.5/61/34、小16.5/41/9</x:v>
      </x:c>
    </x:row>
    <x:row r="16">
      <x:c r="A16" s="244" t="str">
        <x:v>ATT-TH-EV-012</x:v>
      </x:c>
      <x:c r="B16" s="245" t="str">
        <x:v>商品カタログ</x:v>
      </x:c>
      <x:c r="C16" s="245" t="str">
        <x:v>LIXIL リプラス 商品カタログ</x:v>
      </x:c>
      <x:c r="D16" s="245" t="str">
        <x:v>2025-08</x:v>
      </x:c>
      <x:c r="E16" s="245" t="str">
        <x:v>p88-89,p136-138</x:v>
      </x:c>
      <x:c r="F16" s="245" t="str">
        <x:v>https://drive.google.com/file/d/1wH1nhmsftl6y8Mp7y6twtoXSi6rxqxzT/view</x:v>
      </x:c>
      <x:c r="G16" s="245" t="str">
        <x:v>2026-08-31</x:v>
      </x:c>
      <x:c r="H16" s="245" t="str">
        <x:v>HIGH</x:v>
      </x:c>
      <x:c r="I16" s="246" t="str">
        <x:v>ATT-TH部材価格/製作包絡、専用連窓方立・段窓無目、総W/総H式、純正方立/無目使用不可</x:v>
      </x:c>
    </x:row>
    <x:row r="17">
      <x:c r="A17" s="244" t="str">
        <x:v>ATT-TH-EV-013</x:v>
      </x:c>
      <x:c r="B17" s="245" t="str">
        <x:v>商品カタログ</x:v>
      </x:c>
      <x:c r="C17" s="245" t="str">
        <x:v>LIXIL リプラス 商品カタログ</x:v>
      </x:c>
      <x:c r="D17" s="245" t="str">
        <x:v>2025-08</x:v>
      </x:c>
      <x:c r="E17" s="245" t="str">
        <x:v>p72-73,p90-92</x:v>
      </x:c>
      <x:c r="F17" s="245" t="str">
        <x:v>https://drive.google.com/file/d/1wH1nhmsftl6y8Mp7y6twtoXSi6rxqxzT/view</x:v>
      </x:c>
      <x:c r="G17" s="245" t="str">
        <x:v>2026-08-31</x:v>
      </x:c>
      <x:c r="H17" s="245" t="str">
        <x:v>HIGH</x:v>
      </x:c>
      <x:c r="I17" s="246" t="str">
        <x:v>連結ねじ、気密テープ、充てん材、ケーシング、施工スペーサー等の有償品対応</x:v>
      </x:c>
    </x:row>
    <x:row r="18">
      <x:c r="A18" s="244" t="str">
        <x:v>ATT-TH-EV-014</x:v>
      </x:c>
      <x:c r="B18" s="245" t="str">
        <x:v>商品カタログ</x:v>
      </x:c>
      <x:c r="C18" s="245" t="str">
        <x:v>LIXIL リプラス 商品カタログ</x:v>
      </x:c>
      <x:c r="D18" s="245" t="str">
        <x:v>2025-08</x:v>
      </x:c>
      <x:c r="E18" s="245" t="str">
        <x:v>p263-264</x:v>
      </x:c>
      <x:c r="F18" s="245" t="str">
        <x:v>https://drive.google.com/file/d/1wH1nhmsftl6y8Mp7y6twtoXSi6rxqxzT/view</x:v>
      </x:c>
      <x:c r="G18" s="245" t="str">
        <x:v>2026-08-31</x:v>
      </x:c>
      <x:c r="H18" s="245" t="str">
        <x:v>HIGH</x:v>
      </x:c>
      <x:c r="I18" s="246" t="str">
        <x:v>ATT-TH部材詳細：標準/既設単体内嵌め用、化粧カバー、アングルカバー、見切材</x:v>
      </x:c>
    </x:row>
    <x:row r="19">
      <x:c r="A19" s="247" t="str">
        <x:v>ATT-TH-EV-015</x:v>
      </x:c>
      <x:c r="B19" s="248" t="str">
        <x:v>商品カタログ/業務用資料</x:v>
      </x:c>
      <x:c r="C19" s="248" t="str">
        <x:v>リプラス公式資料</x:v>
      </x:c>
      <x:c r="D19" s="248" t="str">
        <x:v>2025-08/2026-04</x:v>
      </x:c>
      <x:c r="E19" s="248" t="str">
        <x:v>p138,p142/特殊性能・施工注意</x:v>
      </x:c>
      <x:c r="F19" s="248" t="str">
        <x:v>https://drive.google.com/file/d/1D1HPMXhOMYd_Lu10XNzzJR2TH3aDHVUr/view</x:v>
      </x:c>
      <x:c r="G19" s="248" t="str">
        <x:v>2026-08-31</x:v>
      </x:c>
      <x:c r="H19" s="248" t="str">
        <x:v>HIGH</x:v>
      </x:c>
      <x:c r="I19" s="249" t="str">
        <x:v>内嵌め図形、耐風圧、連段特殊境界、施工スペース・屋外建込み条件は外部/現場確認</x:v>
      </x:c>
    </x:row>
    <x:row r="20">
      <x:c r="A20" s="38" t="str">
        <x:v>ATT-TH-EV-016</x:v>
      </x:c>
      <x:c r="B20" s="39" t="str">
        <x:v>商品マスター正本</x:v>
      </x:c>
      <x:c r="C20" s="39" t="str">
        <x:v>サーモスA_商品マスター_v0.7.xlsx</x:v>
      </x:c>
      <x:c r="D20" s="39" t="str">
        <x:v>v0.7</x:v>
      </x:c>
      <x:c r="E20" s="39" t="str">
        <x:v>00_RELEASE_MANIFEST / 01_SERIES_MASTER / 02_WINDOW_TYPE_MASTER / 14_SIZE_AVAILABILITY / 15_DEPENDENCY_RULE / 20_RULE_BUNDLE / 21_GOLDEN_TEST / 90_QA_SUMMARY</x:v>
      </x:c>
      <x:c r="F20" s="39" t="str">
        <x:v>https://docs.google.com/spreadsheets/d/1cDEFzi0g1DzM5YoeGvZtHuXionD7tmFD/edit</x:v>
      </x:c>
      <x:c r="G20" s="39" t="str">
        <x:v>2026-09-01</x:v>
      </x:c>
      <x:c r="H20" s="39" t="str">
        <x:v>HIGH</x:v>
      </x:c>
      <x:c r="I20" s="40" t="str">
        <x:v>Drive file ID=1cDEFzi0g1DzM5YoeGvZtHuXionD7tmFD; series_id=SER-LIX-SAMOSA; APP_READY/QA_PASS; Golden Test 40/40 PASS; active window types and runtime resolve_size contract confirmed.</x:v>
      </x:c>
    </x:row>
    <x:row r="21">
      <x:c r="A21" s="28" t="str">
        <x:v>ATT-TH-EV-017</x:v>
      </x:c>
      <x:c r="B21" s="28" t="str">
        <x:v>公式対応突合</x:v>
      </x:c>
      <x:c r="C21" s="28" t="str">
        <x:v>LIXIL リプラス 商品カタログ × サーモスA v0.7正本</x:v>
      </x:c>
      <x:c r="D21" s="28" t="str">
        <x:v>2025-08 / v0.7</x:v>
      </x:c>
      <x:c r="E21" s="28" t="str">
        <x:v>リプラス p203 × SAMOSA 02_WINDOW_TYPE_MASTER/15_DEPENDENCY_RULE</x:v>
      </x:c>
      <x:c r="F21" s="28" t="str">
        <x:v>https://drive.google.com/file/d/1wH1nhmsftl6y8Mp7y6twtoXSi6rxqxzT/view</x:v>
      </x:c>
      <x:c r="G21" s="28" t="str">
        <x:v>2026-09-01</x:v>
      </x:c>
      <x:c r="H21" s="28" t="str">
        <x:v>HIGH</x:v>
      </x:c>
      <x:c r="I21" s="28" t="str">
        <x:v>ATT-TH×サーモスA対応subsetを正式IDへ突合：WT-SA-TATE-SUBERI(T+cam_latch), WT-SA-YOKO-SUBERI(cam_latch), WT-SA-KOSHO-YOKO, WT-SA-FIX-IN, WT-SA-UCHIDAOSHI, WT-SA-SOTODAOSHI。solid_spec_idはSAMOSA正本に存在せずnative fields/rulesで表現。</x:v>
      </x:c>
    </x:row>
    <x:row r="22">
      <x:c r="A22" s="28" t="str">
        <x:v>ATT-TH-EV-018</x:v>
      </x:c>
      <x:c r="B22" s="28" t="str">
        <x:v>版管理</x:v>
      </x:c>
      <x:c r="C22" s="28" t="str">
        <x:v>サッシ商品マスター_保管・版管理仕様書_v1.0</x:v>
      </x:c>
      <x:c r="D22" s="28" t="str">
        <x:v>v1.0</x:v>
      </x:c>
      <x:c r="E22" s="28" t="str">
        <x:v>§6-10 正本・旧版・version運用</x:v>
      </x:c>
      <x:c r="F22" s="28" t="str">
        <x:v>https://docs.google.com/document/d/181yiJ0Ub3t2YdkZ2nx5kagahnB8H8r4RKQRRpQttqNw/edit</x:v>
      </x:c>
      <x:c r="G22" s="28" t="str">
        <x:v>2026-09-01</x:v>
      </x:c>
      <x:c r="H22" s="28" t="str">
        <x:v>HIGH</x:v>
      </x:c>
      <x:c r="I22" s="28" t="str">
        <x:v>データ追加・参照接続・QA反映はマイナーversion更新。ATT-TH v1.0を履歴保持し、v1.1を新採用版として作成。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96" hidden="0" customWidth="1"/>
    <x:col min="4" max="4" width="30" hidden="0" customWidth="1"/>
  </x:cols>
  <x:sheetData>
    <x:row r="1" ht="28" customHeight="1">
      <x:c r="A1" s="236" t="str">
        <x:v>LIXIL リプラス アタッチ枠（サーモス用）｜商品マスター v1.1 完成版 INDEX</x:v>
      </x:c>
      <x:c r="B1" s="236"/>
      <x:c r="C1" s="236"/>
      <x:c r="D1" s="236"/>
    </x:row>
    <x:row r="2" ht="42" customHeight="1">
      <x:c r="A2" s="237" t="str">
        <x:v>ATT-TWの参照型設計を継承。ただしATT-TH固有値とサーモスシリーズ別対応表を公式資料で再確認し、サーモス本体仕様は複製しない。</x:v>
      </x:c>
      <x:c r="B2" s="237"/>
      <x:c r="C2" s="237"/>
      <x:c r="D2" s="237"/>
    </x:row>
    <x:row r="4" ht="30" customHeight="1">
      <x:c r="A4" s="241" t="str">
        <x:v>項目</x:v>
      </x:c>
      <x:c r="B4" s="242" t="str">
        <x:v>状態</x:v>
      </x:c>
      <x:c r="C4" s="242" t="str">
        <x:v>内容</x:v>
      </x:c>
      <x:c r="D4" s="243" t="str">
        <x:v>Evidence</x:v>
      </x:c>
    </x:row>
    <x:row r="5">
      <x:c r="A5" s="244" t="str">
        <x:v>対象</x:v>
      </x:c>
      <x:c r="B5" s="245" t="str">
        <x:v>LIXIL リプラス</x:v>
      </x:c>
      <x:c r="C5" s="245" t="str">
        <x:v>アタッチ枠（サーモス用） / RPL_ATT_TH</x:v>
      </x:c>
      <x:c r="D5" s="246" t="str">
        <x:v>v1.1 / FORMAL_PASS</x:v>
      </x:c>
    </x:row>
    <x:row r="6">
      <x:c r="A6" s="244" t="str">
        <x:v>商品構造</x:v>
      </x:c>
      <x:c r="B6" s="245" t="str">
        <x:v>COMPLETE</x:v>
      </x:c>
      <x:c r="C6" s="245" t="str">
        <x:v>サーモスシリーズ別途手配＋釘打ちフィンカット＋アタッチ枠連結ねじ必須</x:v>
      </x:c>
      <x:c r="D6" s="246" t="str">
        <x:v>ATT-TH-EV-002,004</x:v>
      </x:c>
    </x:row>
    <x:row r="7">
      <x:c r="A7" s="244" t="str">
        <x:v>対応シリーズ</x:v>
      </x:c>
      <x:c r="B7" s="245" t="str">
        <x:v>COMPLETE</x:v>
      </x:c>
      <x:c r="C7" s="245" t="str">
        <x:v>サーモスⅡ-H / サーモスL / サーモスA</x:v>
      </x:c>
      <x:c r="D7" s="246" t="str">
        <x:v>ATT-TH-EV-002,004</x:v>
      </x:c>
    </x:row>
    <x:row r="8">
      <x:c r="A8" s="244" t="str">
        <x:v>正本参照</x:v>
      </x:c>
      <x:c r="B8" s="245" t="str">
        <x:v>COMPLETE</x:v>
      </x:c>
      <x:c r="C8" s="245" t="str">
        <x:v>Ⅱ-H=SER-LIX-SAMOS2H、L=SER-LIX-SAMOSL、A=SER-LIX-SAMOSA を各正本へSSOT接続</x:v>
      </x:c>
      <x:c r="D8" s="246" t="str">
        <x:v>ATT-TH-EV-003,005,016</x:v>
      </x:c>
    </x:row>
    <x:row r="9">
      <x:c r="A9" s="244" t="str">
        <x:v>サーモスA参照</x:v>
      </x:c>
      <x:c r="B9" s="245" t="str">
        <x:v>COMPLETE</x:v>
      </x:c>
      <x:c r="C9" s="245" t="str">
        <x:v>SER-LIX-SAMOSA / サーモスA_商品マスター_v0.7.xlsx を正式参照。APP_READY・QA_PASS・40/40 Golden Test PASS。</x:v>
      </x:c>
      <x:c r="D9" s="246" t="str">
        <x:v>ATT-TH-EV-016,017</x:v>
      </x:c>
    </x:row>
    <x:row r="10">
      <x:c r="A10" s="244" t="str">
        <x:v>対応窓種</x:v>
      </x:c>
      <x:c r="B10" s="245" t="str">
        <x:v>COMPLETE</x:v>
      </x:c>
      <x:c r="C10" s="245" t="str">
        <x:v>S2H/Lはsolid_spec ID、サーモスAはnative canonical field/ruleで公式対応品種へ接続</x:v>
      </x:c>
      <x:c r="D10" s="246" t="str">
        <x:v>ATT-TH-EV-004,016,017</x:v>
      </x:c>
    </x:row>
    <x:row r="11">
      <x:c r="A11" s="244" t="str">
        <x:v>寸法変換</x:v>
      </x:c>
      <x:c r="B11" s="245" t="str">
        <x:v>COMPLETE</x:v>
      </x:c>
      <x:c r="C11" s="245" t="str">
        <x:v>WD=WS-10 / HD=HS-10 / Thermos_W=WS-38 / Thermos_H=HS-39</x:v>
      </x:c>
      <x:c r="D11" s="246" t="str">
        <x:v>ATT-TH-EV-007</x:v>
      </x:c>
    </x:row>
    <x:row r="12">
      <x:c r="A12" s="244" t="str">
        <x:v>サイズ交差判定</x:v>
      </x:c>
      <x:c r="B12" s="245" t="str">
        <x:v>COMPLETE</x:v>
      </x:c>
      <x:c r="C12" s="245" t="str">
        <x:v>アタッチ枠ローカル条件 AND 参照サーモスマスター製作可否</x:v>
      </x:c>
      <x:c r="D12" s="246" t="str">
        <x:v>ATT-TH-EV-003,005,007</x:v>
      </x:c>
    </x:row>
    <x:row r="13">
      <x:c r="A13" s="244" t="str">
        <x:v>アタッチ枠</x:v>
      </x:c>
      <x:c r="B13" s="245" t="str">
        <x:v>COMPLETE</x:v>
      </x:c>
      <x:c r="C13" s="245" t="str">
        <x:v>標準 / 既設単体 内嵌め用を施工条件で自動解決</x:v>
      </x:c>
      <x:c r="D13" s="246" t="str">
        <x:v>ATT-TH-EV-014</x:v>
      </x:c>
    </x:row>
    <x:row r="14">
      <x:c r="A14" s="244" t="str">
        <x:v>既設条件</x:v>
      </x:c>
      <x:c r="B14" s="245" t="str">
        <x:v>COMPLETE</x:v>
      </x:c>
      <x:c r="C14" s="245" t="str">
        <x:v>ATT-TW/TH共通適用表を参照。枠見込み/下枠はATT-TH専用値</x:v>
      </x:c>
      <x:c r="D14" s="246" t="str">
        <x:v>ATT-TH-EV-008,009,010</x:v>
      </x:c>
    </x:row>
    <x:row r="15">
      <x:c r="A15" s="244" t="str">
        <x:v>現調</x:v>
      </x:c>
      <x:c r="B15" s="245" t="str">
        <x:v>COMPLETE</x:v>
      </x:c>
      <x:c r="C15" s="245" t="str">
        <x:v>3点採寸、既設枠見込み≤90、下枠34～53、装飾窓W≤800補強確認不要</x:v>
      </x:c>
      <x:c r="D15" s="246" t="str">
        <x:v>ATT-TH-EV-008,009,010</x:v>
      </x:c>
    </x:row>
    <x:row r="16">
      <x:c r="A16" s="244" t="str">
        <x:v>化粧カバー</x:v>
      </x:c>
      <x:c r="B16" s="245" t="str">
        <x:v>COMPLETE</x:v>
      </x:c>
      <x:c r="C16" s="245" t="str">
        <x:v>大/中/小：上71.5/36.5/16.5、下96/61/41、縦34/34/9</x:v>
      </x:c>
      <x:c r="D16" s="246" t="str">
        <x:v>ATT-TH-EV-011</x:v>
      </x:c>
    </x:row>
    <x:row r="17">
      <x:c r="A17" s="244" t="str">
        <x:v>色</x:v>
      </x:c>
      <x:c r="B17" s="245" t="str">
        <x:v>COMPLETE</x:v>
      </x:c>
      <x:c r="C17" s="245" t="str">
        <x:v>本体色は各サーモス正本参照。化粧カバー5色、樹脂アングルは参照内観色連動</x:v>
      </x:c>
      <x:c r="D17" s="246" t="str">
        <x:v>ATT-TH-EV-002</x:v>
      </x:c>
    </x:row>
    <x:row r="18">
      <x:c r="A18" s="244" t="str">
        <x:v>連窓/段窓</x:v>
      </x:c>
      <x:c r="B18" s="245" t="str">
        <x:v>COMPLETE_WITH_EXTERNAL_CHECK</x:v>
      </x:c>
      <x:c r="C18" s="245" t="str">
        <x:v>リプラス専用連窓方立/段窓無目を使用。サーモス純正方立・無目は使用不可</x:v>
      </x:c>
      <x:c r="D18" s="246" t="str">
        <x:v>ATT-TH-EV-004,012</x:v>
      </x:c>
    </x:row>
    <x:row r="19">
      <x:c r="A19" s="244" t="str">
        <x:v>網戸/ガラス/本体OP</x:v>
      </x:c>
      <x:c r="B19" s="245" t="str">
        <x:v>COMPLETE</x:v>
      </x:c>
      <x:c r="C19" s="245" t="str">
        <x:v>各サーモス正本参照。SAMOSAも色/網戸/ガラス/本体OP/サイズを正本へ委譲し重複登録なし</x:v>
      </x:c>
      <x:c r="D19" s="246" t="str">
        <x:v>ATT-TH-EV-003,005,016</x:v>
      </x:c>
    </x:row>
    <x:row r="20">
      <x:c r="A20" s="244" t="str">
        <x:v>施工部材/有償品</x:v>
      </x:c>
      <x:c r="B20" s="245" t="str">
        <x:v>COMPLETE</x:v>
      </x:c>
      <x:c r="C20" s="245" t="str">
        <x:v>連結ねじ、気密テープ、調整スペーサー、アングルカバー、見切材、補強金具等</x:v>
      </x:c>
      <x:c r="D20" s="246" t="str">
        <x:v>ATT-TH-EV-012,013,014</x:v>
      </x:c>
    </x:row>
    <x:row r="21">
      <x:c r="A21" s="244" t="str">
        <x:v>特殊案件</x:v>
      </x:c>
      <x:c r="B21" s="245" t="str">
        <x:v>COMPLETE_WITH_EXTERNAL_CHECK</x:v>
      </x:c>
      <x:c r="C21" s="245" t="str">
        <x:v>耐風圧、ガラス面積/重量、複合連段、内嵌め図形範囲等</x:v>
      </x:c>
      <x:c r="D21" s="246" t="str">
        <x:v>ATT-TH-EV-001,012,015</x:v>
      </x:c>
    </x:row>
    <x:row r="22">
      <x:c r="A22" s="247" t="str">
        <x:v>Evidence</x:v>
      </x:c>
      <x:c r="B22" s="248" t="str">
        <x:v>COMPLETE</x:v>
      </x:c>
      <x:c r="C22" s="248" t="str">
        <x:v>ATT-TH-EV-001～018</x:v>
      </x:c>
      <x:c r="D22" s="249" t="str">
        <x:v>—</x:v>
      </x:c>
    </x:row>
    <x:row r="23">
      <x:c r="A23" t="str">
        <x:v>最終Status</x:v>
      </x:c>
      <x:c r="B23" s="293" t="str">
        <x:v>FORMAL_PASS</x:v>
      </x:c>
      <x:c r="C23" t="str">
        <x:v>S2H / SL / SAMOSA の3シリーズ参照・通常見積Golden Test PASS。通常見積必須PENDING=0。</x:v>
      </x:c>
      <x:c r="D23" t="str">
        <x:v>ATT-TH-EV-016,017,018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4" hidden="0" customWidth="1"/>
  </x:cols>
  <x:sheetData>
    <x:row r="1" ht="28" customHeight="1">
      <x:c r="A1" s="236" t="str">
        <x:v>00_README｜LIXIL リプラス アタッチ枠（サーモス用） v1.1 完成版</x:v>
      </x:c>
      <x:c r="B1" s="236"/>
    </x:row>
    <x:row r="2" ht="34" customHeight="1">
      <x:c r="A2" s="11"/>
      <x:c r="B2" s="11"/>
    </x:row>
    <x:row r="3">
      <x:c r="A3" s="241" t="str">
        <x:v>キー</x:v>
      </x:c>
      <x:c r="B3" s="243" t="str">
        <x:v>内容</x:v>
      </x:c>
    </x:row>
    <x:row r="4" ht="30" customHeight="1">
      <x:c r="A4" s="251" t="str">
        <x:v>master_id</x:v>
      </x:c>
      <x:c r="B4" s="252" t="str">
        <x:v>LIXIL_RPL_ATT_TH_V1_1</x:v>
      </x:c>
    </x:row>
    <x:row r="5">
      <x:c r="A5" s="244" t="str">
        <x:v>manufacturer</x:v>
      </x:c>
      <x:c r="B5" s="246" t="str">
        <x:v>LIXIL</x:v>
      </x:c>
    </x:row>
    <x:row r="6">
      <x:c r="A6" s="244" t="str">
        <x:v>series</x:v>
      </x:c>
      <x:c r="B6" s="246" t="str">
        <x:v>リプラス</x:v>
      </x:c>
    </x:row>
    <x:row r="7">
      <x:c r="A7" s="244" t="str">
        <x:v>installation_system</x:v>
      </x:c>
      <x:c r="B7" s="246" t="str">
        <x:v>RPL_ATT_TH</x:v>
      </x:c>
    </x:row>
    <x:row r="8">
      <x:c r="A8" s="244" t="str">
        <x:v>installation_system_name</x:v>
      </x:c>
      <x:c r="B8" s="246" t="str">
        <x:v>アタッチ枠（サーモス用）</x:v>
      </x:c>
    </x:row>
    <x:row r="9">
      <x:c r="A9" s="244" t="str">
        <x:v>variation</x:v>
      </x:c>
      <x:c r="B9" s="246" t="str">
        <x:v>NOT_USED / installation_system自体を主キーとする</x:v>
      </x:c>
    </x:row>
    <x:row r="10">
      <x:c r="A10" s="244" t="str">
        <x:v>supported_referenced_series</x:v>
      </x:c>
      <x:c r="B10" s="246" t="str">
        <x:v>SER-LIX-SAMOS2H / SER-LIX-SAMOSL / SER-LIX-SAMOSA</x:v>
      </x:c>
    </x:row>
    <x:row r="11">
      <x:c r="A11" s="244" t="str">
        <x:v>referenced_master_SAMOS2H</x:v>
      </x:c>
      <x:c r="B11" s="246" t="str">
        <x:v>1zHi-XsMqJp0MKH-sDoTcnTqkLMGcuRdo / サーモスⅡH_商品マスター_v0.7_完全完成版.xlsx</x:v>
      </x:c>
    </x:row>
    <x:row r="12">
      <x:c r="A12" s="244" t="str">
        <x:v>referenced_master_SAMOSL</x:v>
      </x:c>
      <x:c r="B12" s="246" t="str">
        <x:v>17lVzBZ1hp4RVcGv0yNdnrKt25SFO2FhL / サーモスL_商品マスター_v0.7_特注寸法発注アプリ投入完成版_QA確定.xlsx</x:v>
      </x:c>
    </x:row>
    <x:row r="13">
      <x:c r="A13" s="244" t="str">
        <x:v>referenced_master_SAMOSA</x:v>
      </x:c>
      <x:c r="B13" s="246" t="str">
        <x:v>1cDEFzi0g1DzM5YoeGvZtHuXionD7tmFD / サーモスA_商品マスター_v0.7.xlsx</x:v>
      </x:c>
    </x:row>
    <x:row r="14">
      <x:c r="A14" s="244" t="str">
        <x:v>reference_role</x:v>
      </x:c>
      <x:c r="B14" s="246" t="str">
        <x:v>SINGLE_SOURCE_OF_TRUTH</x:v>
      </x:c>
    </x:row>
    <x:row r="15">
      <x:c r="A15" s="244" t="str">
        <x:v>supply_mode</x:v>
      </x:c>
      <x:c r="B15" s="246" t="str">
        <x:v>THERMOS_SEPARATE_ONLY</x:v>
      </x:c>
    </x:row>
    <x:row r="16">
      <x:c r="A16" s="244" t="str">
        <x:v>supply_requirement</x:v>
      </x:c>
      <x:c r="B16" s="246" t="str">
        <x:v>サーモスⅡ-H/L/Aを別途手配し釘打ちフィンカット。アタッチ枠連結ねじ必須</x:v>
      </x:c>
    </x:row>
    <x:row r="17">
      <x:c r="A17" s="244" t="str">
        <x:v>responsibility_boundary</x:v>
      </x:c>
      <x:c r="B17" s="246" t="str">
        <x:v>サーモス窓種・固有仕様・色・網戸・ガラス・本体OP・本体製作範囲は各正本。ATT-TH側は対応シリーズ/窓種、寸法変換、既設窓、施工、カバー、リプラス専用部材、差分制限。</x:v>
      </x:c>
    </x:row>
    <x:row r="18">
      <x:c r="A18" s="244" t="str">
        <x:v>dimension_formula</x:v>
      </x:c>
      <x:c r="B18" s="246" t="str">
        <x:v>attachment_finished_W=WS-10 / H=HS-10; referenced_Thermos_W=WS-38 / H=HS-39</x:v>
      </x:c>
    </x:row>
    <x:row r="19">
      <x:c r="A19" s="244" t="str">
        <x:v>bathroom_use</x:v>
      </x:c>
      <x:c r="B19" s="246" t="str">
        <x:v>NOT_APPLICABLE（公式：浴室には使用できない）</x:v>
      </x:c>
    </x:row>
    <x:row r="20">
      <x:c r="A20" s="244" t="str">
        <x:v>fire_use</x:v>
      </x:c>
      <x:c r="B20" s="246" t="str">
        <x:v>NOT_APPLICABLE（防火戸FG-H/L/Aは別商品体系）</x:v>
      </x:c>
    </x:row>
    <x:row r="21">
      <x:c r="A21" s="244" t="str">
        <x:v>completion_status</x:v>
      </x:c>
      <x:c r="B21" s="246" t="str">
        <x:v>FORMAL_PASS</x:v>
      </x:c>
    </x:row>
    <x:row r="22">
      <x:c r="A22" s="244" t="str">
        <x:v>reference_dependency</x:v>
      </x:c>
      <x:c r="B22" s="246" t="str">
        <x:v>NONE / 3シリーズ正本参照接続済み</x:v>
      </x:c>
    </x:row>
    <x:row r="23">
      <x:c r="A23" s="247" t="str">
        <x:v>canonical_destination</x:v>
      </x:c>
      <x:c r="B23" s="249" t="str">
        <x:v>01_住宅サッシ / 04_商品マスター / 01_LIXIL / リプラス</x:v>
      </x:c>
    </x:row>
    <x:row r="24">
      <x:c r="A24" t="str">
        <x:v>normal_estimate_ready_scope</x:v>
      </x:c>
      <x:c r="B24" t="str">
        <x:v>サーモスⅡ-H / サーモスL / サーモスA = COMPLETE。3シリーズ通常見積Golden Test PASS。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4" hidden="0" customWidth="1"/>
    <x:col min="4" max="4" width="58" hidden="0" customWidth="1"/>
    <x:col min="5" max="5" width="76" hidden="0" customWidth="1"/>
  </x:cols>
  <x:sheetData>
    <x:row r="1" ht="28" customHeight="1">
      <x:c r="A1" s="236" t="str">
        <x:v>01_入力フロー｜アタッチ枠（サーモス用）</x:v>
      </x:c>
      <x:c r="B1" s="236"/>
      <x:c r="C1" s="236"/>
      <x:c r="D1" s="236"/>
      <x:c r="E1" s="236"/>
    </x:row>
    <x:row r="3" ht="30" customHeight="1">
      <x:c r="A3" s="241" t="str">
        <x:v>順序</x:v>
      </x:c>
      <x:c r="B3" s="242" t="str">
        <x:v>表示項目</x:v>
      </x:c>
      <x:c r="C3" s="242" t="str">
        <x:v>データキー</x:v>
      </x:c>
      <x:c r="D3" s="242" t="str">
        <x:v>候補/入力</x:v>
      </x:c>
      <x:c r="E3" s="243" t="str">
        <x:v>制御</x:v>
      </x:c>
    </x:row>
    <x:row r="4">
      <x:c r="A4" s="244" t="n">
        <x:v>1</x:v>
      </x:c>
      <x:c r="B4" s="245" t="str">
        <x:v>取替方式</x:v>
      </x:c>
      <x:c r="C4" s="245" t="str">
        <x:v>installation_system_id</x:v>
      </x:c>
      <x:c r="D4" s="245" t="str">
        <x:v>RPL_ATT_TH</x:v>
      </x:c>
      <x:c r="E4" s="246" t="str">
        <x:v>固定</x:v>
      </x:c>
    </x:row>
    <x:row r="5">
      <x:c r="A5" s="244" t="n">
        <x:v>2</x:v>
      </x:c>
      <x:c r="B5" s="245" t="str">
        <x:v>既設窓条件</x:v>
      </x:c>
      <x:c r="C5" s="245" t="str">
        <x:v>existing_window_compatibility</x:v>
      </x:c>
      <x:c r="D5" s="245" t="str">
        <x:v>既設窓種・材質・構造</x:v>
      </x:c>
      <x:c r="E5" s="246" t="str">
        <x:v>共通ATT適用＋ATT-TH差分</x:v>
      </x:c>
    </x:row>
    <x:row r="6">
      <x:c r="A6" s="244" t="n">
        <x:v>3</x:v>
      </x:c>
      <x:c r="B6" s="245" t="str">
        <x:v>対応シリーズ</x:v>
      </x:c>
      <x:c r="C6" s="245" t="str">
        <x:v>referenced_series_id</x:v>
      </x:c>
      <x:c r="D6" s="245" t="str">
        <x:v>サーモスⅡ-H / サーモスL / サーモスA</x:v>
      </x:c>
      <x:c r="E6" s="246" t="str">
        <x:v>3シリーズとも正本接続済み。ATT-TH公式対応subsetだけ表示</x:v>
      </x:c>
    </x:row>
    <x:row r="7">
      <x:c r="A7" s="244" t="n">
        <x:v>4</x:v>
      </x:c>
      <x:c r="B7" s="245" t="str">
        <x:v>対応窓種</x:v>
      </x:c>
      <x:c r="C7" s="245" t="str">
        <x:v>referenced_window_id</x:v>
      </x:c>
      <x:c r="D7" s="245" t="str">
        <x:v>シリーズ正本から対応窓種だけ</x:v>
      </x:c>
      <x:c r="E7" s="246" t="str">
        <x:v>03Cで絞込</x:v>
      </x:c>
    </x:row>
    <x:row r="8">
      <x:c r="A8" s="244" t="n">
        <x:v>5</x:v>
      </x:c>
      <x:c r="B8" s="245" t="str">
        <x:v>窓種固有仕様</x:v>
      </x:c>
      <x:c r="C8" s="245" t="str">
        <x:v>referenced_spec_selector</x:v>
      </x:c>
      <x:c r="D8" s="245" t="str">
        <x:v>参照先正本</x:v>
      </x:c>
      <x:c r="E8" s="246" t="str">
        <x:v>S2H/L=solid_spec_id、サーモスA=native canonical field/ruleを03Cから適用</x:v>
      </x:c>
    </x:row>
    <x:row r="9">
      <x:c r="A9" s="244" t="n">
        <x:v>6</x:v>
      </x:c>
      <x:c r="B9" s="245" t="str">
        <x:v>施工方法</x:v>
      </x:c>
      <x:c r="C9" s="245" t="str">
        <x:v>installation_method</x:v>
      </x:c>
      <x:c r="D9" s="245" t="str">
        <x:v>STANDARD / INNER_FIT_EXISTING_SINGLE</x:v>
      </x:c>
      <x:c r="E9" s="246" t="str">
        <x:v>既設条件から自動</x:v>
      </x:c>
    </x:row>
    <x:row r="10">
      <x:c r="A10" s="244" t="n">
        <x:v>7</x:v>
      </x:c>
      <x:c r="B10" s="245" t="str">
        <x:v>採寸W/H</x:v>
      </x:c>
      <x:c r="C10" s="245" t="str">
        <x:v>survey_w / survey_h</x:v>
      </x:c>
      <x:c r="D10" s="245" t="str">
        <x:v>3点採寸の最小値</x:v>
      </x:c>
      <x:c r="E10" s="246" t="str">
        <x:v>現調入力</x:v>
      </x:c>
    </x:row>
    <x:row r="11">
      <x:c r="A11" s="244" t="n">
        <x:v>8</x:v>
      </x:c>
      <x:c r="B11" s="245" t="str">
        <x:v>アタッチ枠出来寸</x:v>
      </x:c>
      <x:c r="C11" s="245" t="str">
        <x:v>attachment_finished_w/h</x:v>
      </x:c>
      <x:c r="D11" s="245" t="str">
        <x:v>自動</x:v>
      </x:c>
      <x:c r="E11" s="246" t="str">
        <x:v>WD=WS-10 / HD=HS-10</x:v>
      </x:c>
    </x:row>
    <x:row r="12">
      <x:c r="A12" s="244" t="n">
        <x:v>9</x:v>
      </x:c>
      <x:c r="B12" s="245" t="str">
        <x:v>サーモス製作寸法</x:v>
      </x:c>
      <x:c r="C12" s="245" t="str">
        <x:v>referenced_product_w/h</x:v>
      </x:c>
      <x:c r="D12" s="245" t="str">
        <x:v>自動</x:v>
      </x:c>
      <x:c r="E12" s="246" t="str">
        <x:v>W=WS-38 / H=HS-39</x:v>
      </x:c>
    </x:row>
    <x:row r="13">
      <x:c r="A13" s="244" t="n">
        <x:v>10</x:v>
      </x:c>
      <x:c r="B13" s="245" t="str">
        <x:v>参照先サイズ判定</x:v>
      </x:c>
      <x:c r="C13" s="245" t="str">
        <x:v>referenced_size_validation</x:v>
      </x:c>
      <x:c r="D13" s="245" t="str">
        <x:v>サーモス正本へ照会</x:v>
      </x:c>
      <x:c r="E13" s="246" t="str">
        <x:v>本体製作範囲を複製しない</x:v>
      </x:c>
    </x:row>
    <x:row r="14">
      <x:c r="A14" s="244" t="n">
        <x:v>11</x:v>
      </x:c>
      <x:c r="B14" s="245" t="str">
        <x:v>ATT-THローカル判定</x:v>
      </x:c>
      <x:c r="C14" s="245" t="str">
        <x:v>attachment_validation</x:v>
      </x:c>
      <x:c r="D14" s="245" t="str">
        <x:v>W/H包絡・枠見込み・下枠等</x:v>
      </x:c>
      <x:c r="E14" s="246" t="str">
        <x:v>05/10系ルール</x:v>
      </x:c>
    </x:row>
    <x:row r="15">
      <x:c r="A15" s="244" t="n">
        <x:v>12</x:v>
      </x:c>
      <x:c r="B15" s="245" t="str">
        <x:v>サーモス本体仕様</x:v>
      </x:c>
      <x:c r="C15" s="245" t="str">
        <x:v>referenced_product_options</x:v>
      </x:c>
      <x:c r="D15" s="245" t="str">
        <x:v>本体色・網戸・ガラス・OP</x:v>
      </x:c>
      <x:c r="E15" s="246" t="str">
        <x:v>正本から動的取得</x:v>
      </x:c>
    </x:row>
    <x:row r="16">
      <x:c r="A16" s="244" t="n">
        <x:v>13</x:v>
      </x:c>
      <x:c r="B16" s="245" t="str">
        <x:v>化粧カバー</x:v>
      </x:c>
      <x:c r="C16" s="245" t="str">
        <x:v>exterior_cover_type/color</x:v>
      </x:c>
      <x:c r="D16" s="245" t="str">
        <x:v>大/中/小＋5色</x:v>
      </x:c>
      <x:c r="E16" s="246" t="str">
        <x:v>既設見付で絞込</x:v>
      </x:c>
    </x:row>
    <x:row r="17">
      <x:c r="A17" s="244" t="n">
        <x:v>14</x:v>
      </x:c>
      <x:c r="B17" s="245" t="str">
        <x:v>樹脂アングルカバー</x:v>
      </x:c>
      <x:c r="C17" s="245" t="str">
        <x:v>interior_cover_color</x:v>
      </x:c>
      <x:c r="D17" s="245" t="str">
        <x:v>参照内観色から自動/選択</x:v>
      </x:c>
      <x:c r="E17" s="246" t="str">
        <x:v>色互換ルール</x:v>
      </x:c>
    </x:row>
    <x:row r="18">
      <x:c r="A18" s="244" t="n">
        <x:v>15</x:v>
      </x:c>
      <x:c r="B18" s="245" t="str">
        <x:v>リプラス側OP</x:v>
      </x:c>
      <x:c r="C18" s="245" t="str">
        <x:v>attachment_option</x:v>
      </x:c>
      <x:c r="D18" s="245" t="str">
        <x:v>連結ねじ等</x:v>
      </x:c>
      <x:c r="E18" s="246" t="str">
        <x:v>09A依存</x:v>
      </x:c>
    </x:row>
    <x:row r="19">
      <x:c r="A19" s="247" t="n">
        <x:v>16</x:v>
      </x:c>
      <x:c r="B19" s="248" t="str">
        <x:v>最終判定</x:v>
      </x:c>
      <x:c r="C19" s="248" t="str">
        <x:v>final_eligibility</x:v>
      </x:c>
      <x:c r="D19" s="248" t="str">
        <x:v>AUTO / EXTERNAL_CHECK</x:v>
      </x:c>
      <x:c r="E19" s="249" t="str">
        <x:v>参照先判定 AND ATT-TH判定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4" hidden="0" customWidth="1"/>
    <x:col min="4" max="4" width="32" hidden="0" customWidth="1"/>
    <x:col min="5" max="5" width="18" hidden="0" customWidth="1"/>
    <x:col min="6" max="6" width="22" hidden="0" customWidth="1"/>
    <x:col min="7" max="7" width="26" hidden="0" customWidth="1"/>
    <x:col min="8" max="8" width="14" hidden="0" customWidth="1"/>
  </x:cols>
  <x:sheetData>
    <x:row r="1" ht="28" customHeight="1">
      <x:c r="A1" s="236" t="str">
        <x:v>02_取替方式｜アタッチ枠（サーモス用）</x:v>
      </x:c>
      <x:c r="B1" s="236"/>
      <x:c r="C1" s="236"/>
      <x:c r="D1" s="236"/>
      <x:c r="E1" s="236"/>
      <x:c r="F1" s="236"/>
      <x:c r="G1" s="236"/>
      <x:c r="H1" s="4"/>
    </x:row>
    <x:row r="3" ht="30" customHeight="1">
      <x:c r="A3" s="241" t="str">
        <x:v>installation_system_id</x:v>
      </x:c>
      <x:c r="B3" s="242" t="str">
        <x:v>公式名称</x:v>
      </x:c>
      <x:c r="C3" s="242" t="str">
        <x:v>データ型</x:v>
      </x:c>
      <x:c r="D3" s="242" t="str">
        <x:v>referenced_product</x:v>
      </x:c>
      <x:c r="E3" s="242" t="str">
        <x:v>今回範囲</x:v>
      </x:c>
      <x:c r="F3" s="242" t="str">
        <x:v>status</x:v>
      </x:c>
      <x:c r="G3" s="243" t="str">
        <x:v>evidence</x:v>
      </x:c>
      <x:c r="H3" s="34"/>
    </x:row>
    <x:row r="4">
      <x:c r="A4" s="244" t="str">
        <x:v>RPL_ATT_TH</x:v>
      </x:c>
      <x:c r="B4" s="245" t="str">
        <x:v>アタッチ枠（サーモス用）</x:v>
      </x:c>
      <x:c r="C4" s="245" t="str">
        <x:v>リフォーム部材＋サーモス参照</x:v>
      </x:c>
      <x:c r="D4" s="245" t="str">
        <x:v>SAMOS2H/SAMOSL/SAMOSA</x:v>
      </x:c>
      <x:c r="E4" s="245" t="str">
        <x:v>対象</x:v>
      </x:c>
      <x:c r="F4" s="245" t="str">
        <x:v>COMPLETE</x:v>
      </x:c>
      <x:c r="G4" s="246" t="str">
        <x:v>ATT-TH-EV-002,004</x:v>
      </x:c>
      <x:c r="H4" s="37"/>
    </x:row>
    <x:row r="5">
      <x:c r="A5" s="244" t="str">
        <x:v>RPL_ATT_TW</x:v>
      </x:c>
      <x:c r="B5" s="245" t="str">
        <x:v>アタッチ枠（TW用）</x:v>
      </x:c>
      <x:c r="C5" s="245" t="str">
        <x:v>別installation_system</x:v>
      </x:c>
      <x:c r="D5" s="245" t="str">
        <x:v>SER-LIX-TW</x:v>
      </x:c>
      <x:c r="E5" s="245" t="str">
        <x:v>比較対象</x:v>
      </x:c>
      <x:c r="F5" s="245" t="str">
        <x:v>NOT_APPLICABLE</x:v>
      </x:c>
      <x:c r="G5" s="246" t="str">
        <x:v>ATT-TH-EV-001</x:v>
      </x:c>
      <x:c r="H5" s="37"/>
    </x:row>
    <x:row r="6">
      <x:c r="A6" s="247" t="str">
        <x:v>RPL_DIRECT</x:v>
      </x:c>
      <x:c r="B6" s="248" t="str">
        <x:v>リプラス専用取替枠</x:v>
      </x:c>
      <x:c r="C6" s="248" t="str">
        <x:v>完成品/専用枠</x:v>
      </x:c>
      <x:c r="D6" s="248" t="str">
        <x:v>—</x:v>
      </x:c>
      <x:c r="E6" s="248" t="str">
        <x:v>対象外</x:v>
      </x:c>
      <x:c r="F6" s="248" t="str">
        <x:v>NOT_APPLICABLE</x:v>
      </x:c>
      <x:c r="G6" s="249" t="str">
        <x:v>ATT-TH-EV-001</x:v>
      </x:c>
      <x:c r="H6" s="37"/>
    </x:row>
    <x:row r="7">
      <x:c r="A7" s="38"/>
      <x:c r="B7" s="39"/>
      <x:c r="C7" s="39"/>
      <x:c r="D7" s="39"/>
      <x:c r="E7" s="39"/>
      <x:c r="F7" s="39"/>
      <x:c r="G7" s="39"/>
      <x:c r="H7" s="40"/>
    </x:row>
  </x:sheetData>
  <x:mergeCells>
    <x:mergeCell ref="A1:H1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46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28" customHeight="1">
      <x:c r="A1" s="236" t="str">
        <x:v>02A_仕様区分｜アタッチ枠（サーモス用）</x:v>
      </x:c>
      <x:c r="B1" s="236"/>
      <x:c r="C1" s="236"/>
      <x:c r="D1" s="236"/>
      <x:c r="E1" s="236"/>
      <x:c r="F1" s="236"/>
      <x:c r="G1" s="236"/>
    </x:row>
    <x:row r="3" ht="30" customHeight="1">
      <x:c r="A3" s="241" t="str">
        <x:v>config_id</x:v>
      </x:c>
      <x:c r="B3" s="242" t="str">
        <x:v>installation_system_id</x:v>
      </x:c>
      <x:c r="C3" s="242" t="str">
        <x:v>名称</x:v>
      </x:c>
      <x:c r="D3" s="242" t="str">
        <x:v>役割</x:v>
      </x:c>
      <x:c r="E3" s="242" t="str">
        <x:v>ui_mode</x:v>
      </x:c>
      <x:c r="F3" s="242" t="str">
        <x:v>status</x:v>
      </x:c>
      <x:c r="G3" s="243" t="str">
        <x:v>evidence</x:v>
      </x:c>
    </x:row>
    <x:row r="4">
      <x:c r="A4" s="247" t="str">
        <x:v>ATT_TH</x:v>
      </x:c>
      <x:c r="B4" s="248" t="str">
        <x:v>RPL_ATT_TH</x:v>
      </x:c>
      <x:c r="C4" s="248" t="str">
        <x:v>アタッチ枠（サーモス用）</x:v>
      </x:c>
      <x:c r="D4" s="248" t="str">
        <x:v>主商品構成</x:v>
      </x:c>
      <x:c r="E4" s="248" t="str">
        <x:v>FIXED</x:v>
      </x:c>
      <x:c r="F4" s="248" t="str">
        <x:v>COMPLETE</x:v>
      </x:c>
      <x:c r="G4" s="249" t="str">
        <x:v>ATT-TH-EV-002,004</x:v>
      </x:c>
    </x:row>
    <x:row r="5">
      <x:c r="A5" s="35"/>
      <x:c r="B5" s="36"/>
      <x:c r="C5" s="36"/>
      <x:c r="D5" s="36"/>
      <x:c r="E5" s="36"/>
      <x:c r="F5" s="36"/>
      <x:c r="G5" s="37"/>
    </x:row>
    <x:row r="6">
      <x:c r="A6" s="35"/>
      <x:c r="B6" s="36"/>
      <x:c r="C6" s="36"/>
      <x:c r="D6" s="36"/>
      <x:c r="E6" s="36"/>
      <x:c r="F6" s="36"/>
      <x:c r="G6" s="37"/>
    </x:row>
    <x:row r="7">
      <x:c r="A7" s="38"/>
      <x:c r="B7" s="39"/>
      <x:c r="C7" s="39"/>
      <x:c r="D7" s="39"/>
      <x:c r="E7" s="39"/>
      <x:c r="F7" s="39"/>
      <x:c r="G7" s="40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20" hidden="0" customWidth="1"/>
    <x:col min="4" max="4" width="52" hidden="0" customWidth="1"/>
    <x:col min="5" max="5" width="18" hidden="0" customWidth="1"/>
    <x:col min="6" max="6" width="24" hidden="0" customWidth="1"/>
    <x:col min="7" max="7" width="16" hidden="0" customWidth="1"/>
  </x:cols>
  <x:sheetData>
    <x:row r="1" ht="28" customHeight="1">
      <x:c r="A1" s="236" t="str">
        <x:v>03_窓種｜アタッチ枠サーモス 参照ファミリー</x:v>
      </x:c>
      <x:c r="B1" s="236"/>
      <x:c r="C1" s="236"/>
      <x:c r="D1" s="236"/>
      <x:c r="E1" s="236"/>
      <x:c r="F1" s="236"/>
      <x:c r="G1" s="4"/>
    </x:row>
    <x:row r="2" ht="34" customHeight="1">
      <x:c r="A2" s="11"/>
      <x:c r="B2" s="11"/>
      <x:c r="C2" s="11"/>
      <x:c r="D2" s="11"/>
      <x:c r="E2" s="11"/>
      <x:c r="F2" s="11"/>
      <x:c r="G2" s="11"/>
    </x:row>
    <x:row r="3">
      <x:c r="A3" s="241" t="str">
        <x:v>family_id</x:v>
      </x:c>
      <x:c r="B3" s="242" t="str">
        <x:v>表示ファミリー</x:v>
      </x:c>
      <x:c r="C3" s="242" t="str">
        <x:v>シリーズ</x:v>
      </x:c>
      <x:c r="D3" s="242" t="str">
        <x:v>参照方法</x:v>
      </x:c>
      <x:c r="E3" s="242" t="str">
        <x:v>status</x:v>
      </x:c>
      <x:c r="F3" s="243" t="str">
        <x:v>evidence</x:v>
      </x:c>
    </x:row>
    <x:row r="4" ht="30" customHeight="1">
      <x:c r="A4" s="251" t="str">
        <x:v>ATT-TH-TATE</x:v>
      </x:c>
      <x:c r="B4" s="274" t="str">
        <x:v>縦すべり出し窓</x:v>
      </x:c>
      <x:c r="C4" s="274" t="str">
        <x:v>S2H/L/A</x:v>
      </x:c>
      <x:c r="D4" s="274" t="str">
        <x:v>正式window_type_id＋solid_spec_filter</x:v>
      </x:c>
      <x:c r="E4" s="274" t="str">
        <x:v>COMPLETE</x:v>
      </x:c>
      <x:c r="F4" s="252" t="str">
        <x:v>ATT-TH-EV-004</x:v>
      </x:c>
      <x:c r="G4" s="34"/>
    </x:row>
    <x:row r="5">
      <x:c r="A5" s="244" t="str">
        <x:v>ATT-TH-YOKO</x:v>
      </x:c>
      <x:c r="B5" s="245" t="str">
        <x:v>横すべり出し窓</x:v>
      </x:c>
      <x:c r="C5" s="245" t="str">
        <x:v>S2H/L/A</x:v>
      </x:c>
      <x:c r="D5" s="245" t="str">
        <x:v>正式window_type_id＋solid_spec_filter</x:v>
      </x:c>
      <x:c r="E5" s="245" t="str">
        <x:v>COMPLETE</x:v>
      </x:c>
      <x:c r="F5" s="246" t="str">
        <x:v>ATT-TH-EV-004</x:v>
      </x:c>
      <x:c r="G5" s="37"/>
    </x:row>
    <x:row r="6">
      <x:c r="A6" s="244" t="str">
        <x:v>ATT-TH-HIGH</x:v>
      </x:c>
      <x:c r="B6" s="245" t="str">
        <x:v>高所用横すべり出し窓</x:v>
      </x:c>
      <x:c r="C6" s="245" t="str">
        <x:v>S2H/L/A</x:v>
      </x:c>
      <x:c r="D6" s="245" t="str">
        <x:v>正式window_type_id</x:v>
      </x:c>
      <x:c r="E6" s="245" t="str">
        <x:v>COMPLETE</x:v>
      </x:c>
      <x:c r="F6" s="246" t="str">
        <x:v>ATT-TH-EV-004</x:v>
      </x:c>
      <x:c r="G6" s="37"/>
    </x:row>
    <x:row r="7">
      <x:c r="A7" s="244" t="str">
        <x:v>ATT-TH-AGE</x:v>
      </x:c>
      <x:c r="B7" s="245" t="str">
        <x:v>上げ下げ窓FS</x:v>
      </x:c>
      <x:c r="C7" s="245" t="str">
        <x:v>S2H/L</x:v>
      </x:c>
      <x:c r="D7" s="245" t="str">
        <x:v>正式window_type_id</x:v>
      </x:c>
      <x:c r="E7" s="245" t="str">
        <x:v>COMPLETE</x:v>
      </x:c>
      <x:c r="F7" s="246" t="str">
        <x:v>ATT-TH-EV-004</x:v>
      </x:c>
      <x:c r="G7" s="37"/>
    </x:row>
    <x:row r="8">
      <x:c r="A8" s="244" t="str">
        <x:v>ATT-TH-GRILLE-AGE</x:v>
      </x:c>
      <x:c r="B8" s="245" t="str">
        <x:v>面格子付上げ下げ窓FS</x:v>
      </x:c>
      <x:c r="C8" s="245" t="str">
        <x:v>S2H/L</x:v>
      </x:c>
      <x:c r="D8" s="245" t="str">
        <x:v>正式window_type_id</x:v>
      </x:c>
      <x:c r="E8" s="245" t="str">
        <x:v>COMPLETE</x:v>
      </x:c>
      <x:c r="F8" s="246" t="str">
        <x:v>ATT-TH-EV-004</x:v>
      </x:c>
      <x:c r="G8" s="37"/>
    </x:row>
    <x:row r="9">
      <x:c r="A9" s="244" t="str">
        <x:v>ATT-TH-FIX-OUT</x:v>
      </x:c>
      <x:c r="B9" s="245" t="str">
        <x:v>FIX窓（外押縁タイプ）</x:v>
      </x:c>
      <x:c r="C9" s="245" t="str">
        <x:v>S2H/L</x:v>
      </x:c>
      <x:c r="D9" s="245" t="str">
        <x:v>正式window_type_id</x:v>
      </x:c>
      <x:c r="E9" s="245" t="str">
        <x:v>COMPLETE</x:v>
      </x:c>
      <x:c r="F9" s="246" t="str">
        <x:v>ATT-TH-EV-004</x:v>
      </x:c>
      <x:c r="G9" s="37"/>
    </x:row>
    <x:row r="10">
      <x:c r="A10" s="244" t="str">
        <x:v>ATT-TH-FIX-IN</x:v>
      </x:c>
      <x:c r="B10" s="245" t="str">
        <x:v>FIX窓（内押縁タイプ）</x:v>
      </x:c>
      <x:c r="C10" s="245" t="str">
        <x:v>S2H/L/A</x:v>
      </x:c>
      <x:c r="D10" s="245" t="str">
        <x:v>正式window_type_id</x:v>
      </x:c>
      <x:c r="E10" s="245" t="str">
        <x:v>COMPLETE</x:v>
      </x:c>
      <x:c r="F10" s="246" t="str">
        <x:v>ATT-TH-EV-004</x:v>
      </x:c>
      <x:c r="G10" s="37"/>
    </x:row>
    <x:row r="11">
      <x:c r="A11" s="244" t="str">
        <x:v>ATT-TH-INWARD</x:v>
      </x:c>
      <x:c r="B11" s="245" t="str">
        <x:v>内倒し窓</x:v>
      </x:c>
      <x:c r="C11" s="245" t="str">
        <x:v>S2H/L/A</x:v>
      </x:c>
      <x:c r="D11" s="245" t="str">
        <x:v>正式window_type_id</x:v>
      </x:c>
      <x:c r="E11" s="245" t="str">
        <x:v>COMPLETE</x:v>
      </x:c>
      <x:c r="F11" s="246" t="str">
        <x:v>ATT-TH-EV-004</x:v>
      </x:c>
      <x:c r="G11" s="37"/>
    </x:row>
    <x:row r="12">
      <x:c r="A12" s="247" t="str">
        <x:v>ATT-TH-OUTWARD</x:v>
      </x:c>
      <x:c r="B12" s="248" t="str">
        <x:v>外倒し窓</x:v>
      </x:c>
      <x:c r="C12" s="248" t="str">
        <x:v>S2H/L/A</x:v>
      </x:c>
      <x:c r="D12" s="248" t="str">
        <x:v>正式window_type_id＋参照固有仕様</x:v>
      </x:c>
      <x:c r="E12" s="248" t="str">
        <x:v>COMPLETE</x:v>
      </x:c>
      <x:c r="F12" s="249" t="str">
        <x:v>ATT-TH-EV-004</x:v>
      </x:c>
      <x:c r="G12" s="40"/>
    </x:row>
  </x:sheetData>
  <x:mergeCells>
    <x:mergeCell ref="A1:G1"/>
    <x:mergeCell ref="A2:G2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28" customHeight="1">
      <x:c r="A1" s="236" t="str">
        <x:v>03A_枠仕様｜アタッチ枠（サーモス用）</x:v>
      </x:c>
      <x:c r="B1" s="236"/>
      <x:c r="C1" s="236"/>
      <x:c r="D1" s="236"/>
      <x:c r="E1" s="236"/>
      <x:c r="F1" s="236"/>
      <x:c r="G1" s="236"/>
    </x:row>
    <x:row r="3" ht="30" customHeight="1">
      <x:c r="A3" s="241" t="str">
        <x:v>attachment_frame_type_id</x:v>
      </x:c>
      <x:c r="B3" s="242" t="str">
        <x:v>公式区分</x:v>
      </x:c>
      <x:c r="C3" s="242" t="str">
        <x:v>適用</x:v>
      </x:c>
      <x:c r="D3" s="242" t="str">
        <x:v>selection_mode</x:v>
      </x:c>
      <x:c r="E3" s="242" t="str">
        <x:v>user_selectable</x:v>
      </x:c>
      <x:c r="F3" s="242" t="str">
        <x:v>status</x:v>
      </x:c>
      <x:c r="G3" s="243" t="str">
        <x:v>evidence</x:v>
      </x:c>
    </x:row>
    <x:row r="4">
      <x:c r="A4" s="244" t="str">
        <x:v>ATT-TH-FRAME-STD</x:v>
      </x:c>
      <x:c r="B4" s="245" t="str">
        <x:v>標準</x:v>
      </x:c>
      <x:c r="C4" s="245" t="str">
        <x:v>標準施工</x:v>
      </x:c>
      <x:c r="D4" s="245" t="str">
        <x:v>AUTO</x:v>
      </x:c>
      <x:c r="E4" s="272" t="b">
        <x:v>0</x:v>
      </x:c>
      <x:c r="F4" s="245" t="str">
        <x:v>COMPLETE</x:v>
      </x:c>
      <x:c r="G4" s="246" t="str">
        <x:v>ATT-TH-EV-014</x:v>
      </x:c>
    </x:row>
    <x:row r="5">
      <x:c r="A5" s="247" t="str">
        <x:v>ATT-TH-FRAME-INNER-SINGLE</x:v>
      </x:c>
      <x:c r="B5" s="248" t="str">
        <x:v>既設単体 内嵌め用</x:v>
      </x:c>
      <x:c r="C5" s="248" t="str">
        <x:v>既設単体の内嵌め施工</x:v>
      </x:c>
      <x:c r="D5" s="248" t="str">
        <x:v>AUTO</x:v>
      </x:c>
      <x:c r="E5" s="273" t="b">
        <x:v>0</x:v>
      </x:c>
      <x:c r="F5" s="248" t="str">
        <x:v>COMPLETE</x:v>
      </x:c>
      <x:c r="G5" s="249" t="str">
        <x:v>ATT-TH-EV-014</x:v>
      </x:c>
    </x:row>
  </x:sheetData>
  <x:mergeCells>
    <x:mergeCell ref="A1:F1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38" hidden="0" customWidth="1"/>
    <x:col min="5" max="5" width="24" hidden="0" customWidth="1"/>
    <x:col min="6" max="6" width="18" hidden="0" customWidth="1"/>
    <x:col min="7" max="7" width="24" hidden="0" customWidth="1"/>
  </x:cols>
  <x:sheetData>
    <x:row r="1" ht="28" customHeight="1">
      <x:c r="A1" s="236" t="str">
        <x:v>03B_窓種枠設定｜アタッチ枠サーモス</x:v>
      </x:c>
      <x:c r="B1" s="236"/>
      <x:c r="C1" s="236"/>
      <x:c r="D1" s="236"/>
      <x:c r="E1" s="236"/>
      <x:c r="F1" s="236"/>
      <x:c r="G1" s="236"/>
    </x:row>
    <x:row r="2" ht="34" customHeight="1">
      <x:c r="A2" s="11"/>
      <x:c r="B2" s="11"/>
      <x:c r="C2" s="11"/>
      <x:c r="D2" s="11"/>
      <x:c r="E2" s="11"/>
      <x:c r="F2" s="11"/>
    </x:row>
    <x:row r="3">
      <x:c r="A3" s="241" t="str">
        <x:v>rule_id</x:v>
      </x:c>
      <x:c r="B3" s="242" t="str">
        <x:v>window_scope</x:v>
      </x:c>
      <x:c r="C3" s="242" t="str">
        <x:v>installation_method</x:v>
      </x:c>
      <x:c r="D3" s="242" t="str">
        <x:v>attachment_frame_type_id</x:v>
      </x:c>
      <x:c r="E3" s="242" t="str">
        <x:v>result</x:v>
      </x:c>
      <x:c r="F3" s="242" t="str">
        <x:v>status</x:v>
      </x:c>
      <x:c r="G3" s="243" t="str">
        <x:v>evidence</x:v>
      </x:c>
    </x:row>
    <x:row r="4" ht="30" customHeight="1">
      <x:c r="A4" s="251" t="str">
        <x:v>ATT-TH-FM-STD</x:v>
      </x:c>
      <x:c r="B4" s="274" t="str">
        <x:v>SUPPORTED_THERMOS_WINDOWS</x:v>
      </x:c>
      <x:c r="C4" s="274" t="str">
        <x:v>STANDARD</x:v>
      </x:c>
      <x:c r="D4" s="274" t="str">
        <x:v>ATT-TH-FRAME-STD</x:v>
      </x:c>
      <x:c r="E4" s="274" t="str">
        <x:v>AUTO_RESOLVED</x:v>
      </x:c>
      <x:c r="F4" s="274" t="str">
        <x:v>COMPLETE</x:v>
      </x:c>
      <x:c r="G4" s="246" t="str">
        <x:v>ATT-TH-EV-014</x:v>
      </x:c>
    </x:row>
    <x:row r="5">
      <x:c r="A5" s="247" t="str">
        <x:v>ATT-TH-FM-IN</x:v>
      </x:c>
      <x:c r="B5" s="248" t="str">
        <x:v>SUPPORTED_THERMOS_WINDOWS</x:v>
      </x:c>
      <x:c r="C5" s="248" t="str">
        <x:v>INNER_FIT_EXISTING_SINGLE</x:v>
      </x:c>
      <x:c r="D5" s="248" t="str">
        <x:v>ATT-TH-FRAME-INNER-SINGLE</x:v>
      </x:c>
      <x:c r="E5" s="248" t="str">
        <x:v>AUTO_RESOLVED</x:v>
      </x:c>
      <x:c r="F5" s="248" t="str">
        <x:v>COMPLETE</x:v>
      </x:c>
      <x:c r="G5" s="249" t="str">
        <x:v>ATT-TH-EV-014</x:v>
      </x:c>
    </x:row>
    <x:row r="6">
      <x:c r="A6" s="35"/>
      <x:c r="B6" s="36"/>
      <x:c r="C6" s="36"/>
      <x:c r="D6" s="36"/>
      <x:c r="E6" s="36"/>
      <x:c r="F6" s="37"/>
    </x:row>
    <x:row r="7">
      <x:c r="A7" s="35"/>
      <x:c r="B7" s="36"/>
      <x:c r="C7" s="36"/>
      <x:c r="D7" s="36"/>
      <x:c r="E7" s="36"/>
      <x:c r="F7" s="37"/>
    </x:row>
    <x:row r="8">
      <x:c r="A8" s="35"/>
      <x:c r="B8" s="36"/>
      <x:c r="C8" s="36"/>
      <x:c r="D8" s="36"/>
      <x:c r="E8" s="36"/>
      <x:c r="F8" s="37"/>
    </x:row>
    <x:row r="9">
      <x:c r="A9" s="35"/>
      <x:c r="B9" s="36"/>
      <x:c r="C9" s="36"/>
      <x:c r="D9" s="36"/>
      <x:c r="E9" s="36"/>
      <x:c r="F9" s="37"/>
    </x:row>
    <x:row r="10">
      <x:c r="A10" s="35"/>
      <x:c r="B10" s="36"/>
      <x:c r="C10" s="36"/>
      <x:c r="D10" s="36"/>
      <x:c r="E10" s="36"/>
      <x:c r="F10" s="37"/>
    </x:row>
    <x:row r="11">
      <x:c r="A11" s="35"/>
      <x:c r="B11" s="36"/>
      <x:c r="C11" s="36"/>
      <x:c r="D11" s="36"/>
      <x:c r="E11" s="36"/>
      <x:c r="F11" s="37"/>
    </x:row>
    <x:row r="12">
      <x:c r="A12" s="35"/>
      <x:c r="B12" s="36"/>
      <x:c r="C12" s="36"/>
      <x:c r="D12" s="36"/>
      <x:c r="E12" s="36"/>
      <x:c r="F12" s="37"/>
    </x:row>
    <x:row r="13">
      <x:c r="A13" s="38"/>
      <x:c r="B13" s="39"/>
      <x:c r="C13" s="39"/>
      <x:c r="D13" s="39"/>
      <x:c r="E13" s="39"/>
      <x:c r="F13" s="40"/>
    </x:row>
  </x:sheetData>
  <x:mergeCells>
    <x:mergeCell ref="A1:F1"/>
    <x:mergeCell ref="A2:F2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78" hidden="0" customWidth="1"/>
    <x:col min="5" max="5" width="26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28" customHeight="1">
      <x:c r="A1" s="236" t="str">
        <x:v>04_窓種固有仕様｜ATT-TH差分のみ</x:v>
      </x:c>
      <x:c r="B1" s="236"/>
      <x:c r="C1" s="236"/>
      <x:c r="D1" s="236"/>
      <x:c r="E1" s="236"/>
      <x:c r="F1" s="236"/>
      <x:c r="G1" s="236"/>
      <x:c r="H1" s="178"/>
    </x:row>
    <x:row r="3" ht="30" customHeight="1">
      <x:c r="A3" s="241" t="str">
        <x:v>spec_id</x:v>
      </x:c>
      <x:c r="B3" s="242" t="str">
        <x:v>scope</x:v>
      </x:c>
      <x:c r="C3" s="242" t="str">
        <x:v>spec_type</x:v>
      </x:c>
      <x:c r="D3" s="242" t="str">
        <x:v>rule</x:v>
      </x:c>
      <x:c r="E3" s="242" t="str">
        <x:v>selection_mode</x:v>
      </x:c>
      <x:c r="F3" s="242" t="str">
        <x:v>status</x:v>
      </x:c>
      <x:c r="G3" s="243" t="str">
        <x:v>evidence</x:v>
      </x:c>
      <x:c r="H3" s="183"/>
    </x:row>
    <x:row r="4">
      <x:c r="A4" s="244" t="str">
        <x:v>ATT-TH-SP-001</x:v>
      </x:c>
      <x:c r="B4" s="245" t="str">
        <x:v>SAMOS2H/SAMOSL</x:v>
      </x:c>
      <x:c r="C4" s="245" t="str">
        <x:v>referenced_solid_spec</x:v>
      </x:c>
      <x:c r="D4" s="245" t="str">
        <x:v>参照先正本の現行有効solid_specのみ使用</x:v>
      </x:c>
      <x:c r="E4" s="245" t="str">
        <x:v>REFERENCE_ONLY</x:v>
      </x:c>
      <x:c r="F4" s="245" t="str">
        <x:v>COMPLETE</x:v>
      </x:c>
      <x:c r="G4" s="246" t="str">
        <x:v>ATT-TH-EV-003,005</x:v>
      </x:c>
      <x:c r="H4" s="186"/>
    </x:row>
    <x:row r="5">
      <x:c r="A5" s="244" t="str">
        <x:v>ATT-TH-SP-002</x:v>
      </x:c>
      <x:c r="B5" s="245" t="str">
        <x:v>ALL_SUPPORTED</x:v>
      </x:c>
      <x:c r="C5" s="245" t="str">
        <x:v>nailing_fin</x:v>
      </x:c>
      <x:c r="D5" s="245" t="str">
        <x:v>釘打ちフィンカット必須</x:v>
      </x:c>
      <x:c r="E5" s="245" t="str">
        <x:v>SYSTEM_REQUIRED</x:v>
      </x:c>
      <x:c r="F5" s="245" t="str">
        <x:v>COMPLETE</x:v>
      </x:c>
      <x:c r="G5" s="246" t="str">
        <x:v>ATT-TH-EV-002,004</x:v>
      </x:c>
      <x:c r="H5" s="186"/>
    </x:row>
    <x:row r="6">
      <x:c r="A6" s="244" t="str">
        <x:v>ATT-TH-SP-003</x:v>
      </x:c>
      <x:c r="B6" s="245" t="str">
        <x:v>ALL_SUPPORTED</x:v>
      </x:c>
      <x:c r="C6" s="245" t="str">
        <x:v>connection_screw</x:v>
      </x:c>
      <x:c r="D6" s="245" t="str">
        <x:v>アタッチ枠連結ねじ必須</x:v>
      </x:c>
      <x:c r="E6" s="245" t="str">
        <x:v>SYSTEM_REQUIRED</x:v>
      </x:c>
      <x:c r="F6" s="245" t="str">
        <x:v>COMPLETE</x:v>
      </x:c>
      <x:c r="G6" s="246" t="str">
        <x:v>ATT-TH-EV-004,013</x:v>
      </x:c>
      <x:c r="H6" s="189"/>
    </x:row>
    <x:row r="7">
      <x:c r="A7" s="247" t="str">
        <x:v>ATT-TH-SP-004</x:v>
      </x:c>
      <x:c r="B7" s="248" t="str">
        <x:v>COUPLED/STACKED</x:v>
      </x:c>
      <x:c r="C7" s="248" t="str">
        <x:v>joint_parts</x:v>
      </x:c>
      <x:c r="D7" s="248" t="str">
        <x:v>サーモス純正方立/無目ではなくリプラス専用品</x:v>
      </x:c>
      <x:c r="E7" s="248" t="str">
        <x:v>SYSTEM_REQUIRED</x:v>
      </x:c>
      <x:c r="F7" s="248" t="str">
        <x:v>COMPLETE</x:v>
      </x:c>
      <x:c r="G7" s="249" t="str">
        <x:v>ATT-TH-EV-012</x:v>
      </x:c>
      <x:c r="H7" s="37"/>
    </x:row>
    <x:row r="8">
      <x:c r="A8" s="35" t="str">
        <x:v>ATT-TH-SP-SA-NATIVE</x:v>
      </x:c>
      <x:c r="B8" s="36" t="str">
        <x:v>SER-LIX-SAMOSA</x:v>
      </x:c>
      <x:c r="C8" s="36" t="str">
        <x:v>referenced_native_rule</x:v>
      </x:c>
      <x:c r="D8" s="36" t="str">
        <x:v>サーモスAはsolid_spec_idを持たない。window_type_id＋configuration_type/handle_type/operation_method/opening_angle等の正本ルールを参照し、ATT-TH側で擬似solid_specを作らない。</x:v>
      </x:c>
      <x:c r="E8" s="36" t="str">
        <x:v>REFERENCE_ONLY</x:v>
      </x:c>
      <x:c r="F8" s="36" t="str">
        <x:v>COMPLETE</x:v>
      </x:c>
      <x:c r="G8" s="36" t="str">
        <x:v>ATT-TH-EV-016,017</x:v>
      </x:c>
      <x:c r="H8" s="37"/>
    </x:row>
    <x:row r="9">
      <x:c r="A9" s="35"/>
      <x:c r="B9" s="36"/>
      <x:c r="C9" s="36"/>
      <x:c r="D9" s="36"/>
      <x:c r="E9" s="36"/>
      <x:c r="F9" s="36"/>
      <x:c r="G9" s="36"/>
      <x:c r="H9" s="37"/>
    </x:row>
    <x:row r="10">
      <x:c r="A10" s="35"/>
      <x:c r="B10" s="36"/>
      <x:c r="C10" s="36"/>
      <x:c r="D10" s="36"/>
      <x:c r="E10" s="36"/>
      <x:c r="F10" s="36"/>
      <x:c r="G10" s="36"/>
      <x:c r="H10" s="37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8" hidden="0" customWidth="1"/>
    <x:col min="4" max="4" width="72" hidden="0" customWidth="1"/>
    <x:col min="5" max="5" width="54" hidden="0" customWidth="1"/>
    <x:col min="6" max="6" width="30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0" hidden="0" customWidth="1"/>
    <x:col min="16" max="16" width="54" hidden="0" customWidth="1"/>
    <x:col min="17" max="17" width="14" hidden="0" customWidth="1"/>
    <x:col min="18" max="18" width="14" hidden="0" customWidth="1"/>
  </x:cols>
  <x:sheetData>
    <x:row r="1" ht="28" customHeight="1">
      <x:c r="A1" s="236" t="str">
        <x:v>05_サイズルール｜ATT-TH ローカル＋参照先交差判定</x:v>
      </x:c>
      <x:c r="B1" s="236"/>
      <x:c r="C1" s="236"/>
      <x:c r="D1" s="236"/>
      <x:c r="E1" s="236"/>
      <x:c r="F1" s="236"/>
      <x:c r="G1" s="236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2" customHeight="1">
      <x:c r="A2" s="237" t="str">
        <x:v>サーモス本体の規格/特注製作範囲は本マスターへ複製せず、変換後W/Hを参照先正本へ渡す。</x:v>
      </x:c>
      <x:c r="B2" s="237"/>
      <x:c r="C2" s="237"/>
      <x:c r="D2" s="237"/>
      <x:c r="E2" s="237"/>
      <x:c r="F2" s="237"/>
      <x:c r="G2" s="237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4" ht="30" customHeight="1">
      <x:c r="A4" s="241" t="str">
        <x:v>size_rule_id</x:v>
      </x:c>
      <x:c r="B4" s="242" t="str">
        <x:v>scope</x:v>
      </x:c>
      <x:c r="C4" s="242" t="str">
        <x:v>local_rule</x:v>
      </x:c>
      <x:c r="D4" s="242" t="str">
        <x:v>referenced_rule</x:v>
      </x:c>
      <x:c r="E4" s="242" t="str">
        <x:v>final_expression</x:v>
      </x:c>
      <x:c r="F4" s="242" t="str">
        <x:v>status</x:v>
      </x:c>
      <x:c r="G4" s="243" t="str">
        <x:v>evidence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4"/>
    </x:row>
    <x:row r="5">
      <x:c r="A5" s="244" t="str">
        <x:v>ATT-TH-SZ-001</x:v>
      </x:c>
      <x:c r="B5" s="245" t="str">
        <x:v>SINGLE</x:v>
      </x:c>
      <x:c r="C5" s="245" t="str">
        <x:v>200&lt;=Thermos_W&lt;=4000 AND 200&lt;=Thermos_H&lt;=2500</x:v>
      </x:c>
      <x:c r="D5" s="245" t="str">
        <x:v>参照サーモス正本の該当window/specサイズ判定</x:v>
      </x:c>
      <x:c r="E5" s="245" t="str">
        <x:v>LOCAL_VALID AND REFERENCE_VALID</x:v>
      </x:c>
      <x:c r="F5" s="245" t="str">
        <x:v>COMPLETE</x:v>
      </x:c>
      <x:c r="G5" s="278" t="str">
        <x:v>ATT-TH-EV-003,005,012</x:v>
      </x:c>
      <x:c r="H5" s="62"/>
      <x:c r="I5" s="62"/>
      <x:c r="J5" s="62"/>
      <x:c r="K5" s="62"/>
      <x:c r="L5" s="62"/>
      <x:c r="M5" s="62"/>
      <x:c r="N5" s="62"/>
      <x:c r="O5" s="36"/>
      <x:c r="P5" s="36"/>
      <x:c r="Q5" s="36"/>
      <x:c r="R5" s="37"/>
    </x:row>
    <x:row r="6">
      <x:c r="A6" s="244" t="str">
        <x:v>ATT-TH-SZ-002</x:v>
      </x:c>
      <x:c r="B6" s="245" t="str">
        <x:v>existing_frame_depth</x:v>
      </x:c>
      <x:c r="C6" s="245" t="str">
        <x:v>depth&lt;=90mm</x:v>
      </x:c>
      <x:c r="D6" s="245" t="str">
        <x:v>—</x:v>
      </x:c>
      <x:c r="E6" s="245" t="str">
        <x:v>SURVEY_RULE</x:v>
      </x:c>
      <x:c r="F6" s="245" t="str">
        <x:v>COMPLETE</x:v>
      </x:c>
      <x:c r="G6" s="278" t="str">
        <x:v>ATT-TH-EV-009</x:v>
      </x:c>
      <x:c r="H6" s="62"/>
      <x:c r="I6" s="62"/>
      <x:c r="J6" s="62"/>
      <x:c r="K6" s="62"/>
      <x:c r="L6" s="62"/>
      <x:c r="M6" s="62"/>
      <x:c r="N6" s="62"/>
      <x:c r="O6" s="36"/>
      <x:c r="P6" s="36"/>
      <x:c r="Q6" s="36"/>
      <x:c r="R6" s="37"/>
    </x:row>
    <x:row r="7">
      <x:c r="A7" s="244" t="str">
        <x:v>ATT-TH-SZ-003</x:v>
      </x:c>
      <x:c r="B7" s="245" t="str">
        <x:v>lower_frame_rise</x:v>
      </x:c>
      <x:c r="C7" s="245" t="str">
        <x:v>34&lt;=rise&lt;=53mm</x:v>
      </x:c>
      <x:c r="D7" s="245" t="str">
        <x:v>—</x:v>
      </x:c>
      <x:c r="E7" s="245" t="str">
        <x:v>SURVEY_RULE（装飾窓W&lt;=800は補強確認不要）</x:v>
      </x:c>
      <x:c r="F7" s="245" t="str">
        <x:v>COMPLETE</x:v>
      </x:c>
      <x:c r="G7" s="278" t="str">
        <x:v>ATT-TH-EV-010</x:v>
      </x:c>
      <x:c r="H7" s="62"/>
      <x:c r="I7" s="62"/>
      <x:c r="J7" s="62"/>
      <x:c r="K7" s="62"/>
      <x:c r="L7" s="62"/>
      <x:c r="M7" s="62"/>
      <x:c r="N7" s="62"/>
      <x:c r="O7" s="36"/>
      <x:c r="P7" s="36"/>
      <x:c r="Q7" s="36"/>
      <x:c r="R7" s="37"/>
    </x:row>
    <x:row r="8">
      <x:c r="A8" s="244" t="str">
        <x:v>ATT-TH-SZ-004</x:v>
      </x:c>
      <x:c r="B8" s="245" t="str">
        <x:v>COUPLED</x:v>
      </x:c>
      <x:c r="C8" s="245" t="str">
        <x:v>総W = W1+15+W2 / 公式グラフ包絡</x:v>
      </x:c>
      <x:c r="D8" s="245" t="str">
        <x:v>各窓の参照先サイズ判定</x:v>
      </x:c>
      <x:c r="E8" s="245" t="str">
        <x:v>REFERENCE_VALID AND EXTERNAL_BOUNDARY</x:v>
      </x:c>
      <x:c r="F8" s="245" t="str">
        <x:v>COMPLETE_WITH_EXTERNAL_CHECK</x:v>
      </x:c>
      <x:c r="G8" s="278" t="str">
        <x:v>ATT-TH-EV-012</x:v>
      </x:c>
      <x:c r="H8" s="62"/>
      <x:c r="I8" s="62"/>
      <x:c r="J8" s="62"/>
      <x:c r="K8" s="62"/>
      <x:c r="L8" s="62"/>
      <x:c r="M8" s="62"/>
      <x:c r="N8" s="62"/>
      <x:c r="O8" s="36"/>
      <x:c r="P8" s="36"/>
      <x:c r="Q8" s="36"/>
      <x:c r="R8" s="37"/>
    </x:row>
    <x:row r="9">
      <x:c r="A9" s="244" t="str">
        <x:v>ATT-TH-SZ-005</x:v>
      </x:c>
      <x:c r="B9" s="245" t="str">
        <x:v>STACKED</x:v>
      </x:c>
      <x:c r="C9" s="245" t="str">
        <x:v>総H = H1+30+H2 / H1曲線制限</x:v>
      </x:c>
      <x:c r="D9" s="245" t="str">
        <x:v>各窓の参照先サイズ判定</x:v>
      </x:c>
      <x:c r="E9" s="245" t="str">
        <x:v>REFERENCE_VALID AND EXTERNAL_BOUNDARY</x:v>
      </x:c>
      <x:c r="F9" s="245" t="str">
        <x:v>COMPLETE_WITH_EXTERNAL_CHECK</x:v>
      </x:c>
      <x:c r="G9" s="278" t="str">
        <x:v>ATT-TH-EV-012</x:v>
      </x:c>
      <x:c r="H9" s="62"/>
      <x:c r="I9" s="62"/>
      <x:c r="J9" s="62"/>
      <x:c r="K9" s="62"/>
      <x:c r="L9" s="62"/>
      <x:c r="M9" s="62"/>
      <x:c r="N9" s="62"/>
      <x:c r="O9" s="36"/>
      <x:c r="P9" s="36"/>
      <x:c r="Q9" s="36"/>
      <x:c r="R9" s="37"/>
    </x:row>
    <x:row r="10">
      <x:c r="A10" s="247" t="str">
        <x:v>ATT-TH-SZ-006</x:v>
      </x:c>
      <x:c r="B10" s="248" t="str">
        <x:v>special_performance</x:v>
      </x:c>
      <x:c r="C10" s="248" t="str">
        <x:v>耐風圧/ガラス面積/重量</x:v>
      </x:c>
      <x:c r="D10" s="248" t="str">
        <x:v>参照先正本/公式見積</x:v>
      </x:c>
      <x:c r="E10" s="248" t="str">
        <x:v>EXTERNAL_CHECK</x:v>
      </x:c>
      <x:c r="F10" s="248" t="str">
        <x:v>COMPLETE_WITH_EXTERNAL_CHECK</x:v>
      </x:c>
      <x:c r="G10" s="279" t="str">
        <x:v>ATT-TH-EV-001,015</x:v>
      </x:c>
      <x:c r="H10" s="62"/>
      <x:c r="I10" s="62"/>
      <x:c r="J10" s="62"/>
      <x:c r="K10" s="62"/>
      <x:c r="L10" s="62"/>
      <x:c r="M10" s="62"/>
      <x:c r="N10" s="62"/>
      <x:c r="O10" s="36"/>
      <x:c r="P10" s="36"/>
      <x:c r="Q10" s="36"/>
      <x:c r="R10" s="37"/>
    </x:row>
    <x:row r="11">
      <x:c r="A11" s="35"/>
      <x:c r="B11" s="36"/>
      <x:c r="C11" s="36"/>
      <x:c r="D11" s="36"/>
      <x:c r="E11" s="36"/>
      <x:c r="F11" s="36"/>
      <x:c r="G11" s="62"/>
      <x:c r="H11" s="62"/>
      <x:c r="I11" s="62"/>
      <x:c r="J11" s="62"/>
      <x:c r="K11" s="62"/>
      <x:c r="L11" s="62"/>
      <x:c r="M11" s="62"/>
      <x:c r="N11" s="62"/>
      <x:c r="O11" s="36"/>
      <x:c r="P11" s="36"/>
      <x:c r="Q11" s="36"/>
      <x:c r="R11" s="37"/>
    </x:row>
    <x:row r="12">
      <x:c r="A12" s="35"/>
      <x:c r="B12" s="36"/>
      <x:c r="C12" s="36"/>
      <x:c r="D12" s="36"/>
      <x:c r="E12" s="36"/>
      <x:c r="F12" s="36"/>
      <x:c r="G12" s="62"/>
      <x:c r="H12" s="62"/>
      <x:c r="I12" s="62"/>
      <x:c r="J12" s="62"/>
      <x:c r="K12" s="62"/>
      <x:c r="L12" s="62"/>
      <x:c r="M12" s="62"/>
      <x:c r="N12" s="62"/>
      <x:c r="O12" s="36"/>
      <x:c r="P12" s="36"/>
      <x:c r="Q12" s="36"/>
      <x:c r="R12" s="37"/>
    </x:row>
    <x:row r="13">
      <x:c r="A13" s="35"/>
      <x:c r="B13" s="36"/>
      <x:c r="C13" s="36"/>
      <x:c r="D13" s="36"/>
      <x:c r="E13" s="36"/>
      <x:c r="F13" s="36"/>
      <x:c r="G13" s="62"/>
      <x:c r="H13" s="62"/>
      <x:c r="I13" s="62"/>
      <x:c r="J13" s="62"/>
      <x:c r="K13" s="62"/>
      <x:c r="L13" s="62"/>
      <x:c r="M13" s="62"/>
      <x:c r="N13" s="62"/>
      <x:c r="O13" s="36"/>
      <x:c r="P13" s="36"/>
      <x:c r="Q13" s="36"/>
      <x:c r="R13" s="37"/>
    </x:row>
    <x:row r="14">
      <x:c r="A14" s="35"/>
      <x:c r="B14" s="36"/>
      <x:c r="C14" s="36"/>
      <x:c r="D14" s="36"/>
      <x:c r="E14" s="36"/>
      <x:c r="F14" s="36"/>
      <x:c r="G14" s="62"/>
      <x:c r="H14" s="62"/>
      <x:c r="I14" s="62"/>
      <x:c r="J14" s="62"/>
      <x:c r="K14" s="62"/>
      <x:c r="L14" s="62"/>
      <x:c r="M14" s="62"/>
      <x:c r="N14" s="62"/>
      <x:c r="O14" s="36"/>
      <x:c r="P14" s="36"/>
      <x:c r="Q14" s="36"/>
      <x:c r="R14" s="37"/>
    </x:row>
    <x:row r="15">
      <x:c r="A15" s="35"/>
      <x:c r="B15" s="36"/>
      <x:c r="C15" s="36"/>
      <x:c r="D15" s="36"/>
      <x:c r="E15" s="36"/>
      <x:c r="F15" s="36"/>
      <x:c r="G15" s="62"/>
      <x:c r="H15" s="62"/>
      <x:c r="I15" s="62"/>
      <x:c r="J15" s="62"/>
      <x:c r="K15" s="62"/>
      <x:c r="L15" s="62"/>
      <x:c r="M15" s="62"/>
      <x:c r="N15" s="62"/>
      <x:c r="O15" s="36"/>
      <x:c r="P15" s="36"/>
      <x:c r="Q15" s="36"/>
      <x:c r="R15" s="37"/>
    </x:row>
    <x:row r="16">
      <x:c r="A16" s="35"/>
      <x:c r="B16" s="36"/>
      <x:c r="C16" s="36"/>
      <x:c r="D16" s="36"/>
      <x:c r="E16" s="36"/>
      <x:c r="F16" s="36"/>
      <x:c r="G16" s="62"/>
      <x:c r="H16" s="62"/>
      <x:c r="I16" s="62"/>
      <x:c r="J16" s="62"/>
      <x:c r="K16" s="62"/>
      <x:c r="L16" s="62"/>
      <x:c r="M16" s="62"/>
      <x:c r="N16" s="62"/>
      <x:c r="O16" s="36"/>
      <x:c r="P16" s="36"/>
      <x:c r="Q16" s="36"/>
      <x:c r="R16" s="37"/>
    </x:row>
    <x:row r="17">
      <x:c r="A17" s="35"/>
      <x:c r="B17" s="36"/>
      <x:c r="C17" s="36"/>
      <x:c r="D17" s="36"/>
      <x:c r="E17" s="36"/>
      <x:c r="F17" s="36"/>
      <x:c r="G17" s="62"/>
      <x:c r="H17" s="62"/>
      <x:c r="I17" s="62"/>
      <x:c r="J17" s="62"/>
      <x:c r="K17" s="62"/>
      <x:c r="L17" s="62"/>
      <x:c r="M17" s="62"/>
      <x:c r="N17" s="62"/>
      <x:c r="O17" s="36"/>
      <x:c r="P17" s="36"/>
      <x:c r="Q17" s="36"/>
      <x:c r="R17" s="37"/>
    </x:row>
    <x:row r="18">
      <x:c r="A18" s="35"/>
      <x:c r="B18" s="36"/>
      <x:c r="C18" s="36"/>
      <x:c r="D18" s="36"/>
      <x:c r="E18" s="36"/>
      <x:c r="F18" s="36"/>
      <x:c r="G18" s="62"/>
      <x:c r="H18" s="62"/>
      <x:c r="I18" s="62"/>
      <x:c r="J18" s="62"/>
      <x:c r="K18" s="62"/>
      <x:c r="L18" s="62"/>
      <x:c r="M18" s="62"/>
      <x:c r="N18" s="62"/>
      <x:c r="O18" s="36"/>
      <x:c r="P18" s="36"/>
      <x:c r="Q18" s="36"/>
      <x:c r="R18" s="37"/>
    </x:row>
    <x:row r="19">
      <x:c r="A19" s="35"/>
      <x:c r="B19" s="36"/>
      <x:c r="C19" s="36"/>
      <x:c r="D19" s="36"/>
      <x:c r="E19" s="36"/>
      <x:c r="F19" s="36"/>
      <x:c r="G19" s="62"/>
      <x:c r="H19" s="62"/>
      <x:c r="I19" s="62"/>
      <x:c r="J19" s="62"/>
      <x:c r="K19" s="62"/>
      <x:c r="L19" s="62"/>
      <x:c r="M19" s="62"/>
      <x:c r="N19" s="62"/>
      <x:c r="O19" s="36"/>
      <x:c r="P19" s="36"/>
      <x:c r="Q19" s="36"/>
      <x:c r="R19" s="37"/>
    </x:row>
    <x:row r="20">
      <x:c r="A20" s="35"/>
      <x:c r="B20" s="36"/>
      <x:c r="C20" s="36"/>
      <x:c r="D20" s="36"/>
      <x:c r="E20" s="36"/>
      <x:c r="F20" s="36"/>
      <x:c r="G20" s="62"/>
      <x:c r="H20" s="62"/>
      <x:c r="I20" s="62"/>
      <x:c r="J20" s="62"/>
      <x:c r="K20" s="62"/>
      <x:c r="L20" s="62"/>
      <x:c r="M20" s="62"/>
      <x:c r="N20" s="62"/>
      <x:c r="O20" s="36"/>
      <x:c r="P20" s="36"/>
      <x:c r="Q20" s="36"/>
      <x:c r="R20" s="37"/>
    </x:row>
    <x:row r="21">
      <x:c r="A21" s="38"/>
      <x:c r="B21" s="39"/>
      <x:c r="C21" s="39"/>
      <x:c r="D21" s="39"/>
      <x:c r="E21" s="39"/>
      <x:c r="F21" s="39"/>
      <x:c r="G21" s="63"/>
      <x:c r="H21" s="63"/>
      <x:c r="I21" s="63"/>
      <x:c r="J21" s="63"/>
      <x:c r="K21" s="63"/>
      <x:c r="L21" s="63"/>
      <x:c r="M21" s="63"/>
      <x:c r="N21" s="63"/>
      <x:c r="O21" s="39"/>
      <x:c r="P21" s="39"/>
      <x:c r="Q21" s="39"/>
      <x:c r="R21" s="40"/>
    </x:row>
  </x:sheetData>
  <x:mergeCells>
    <x:mergeCell ref="A1:R1"/>
    <x:mergeCell ref="A2:R2"/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2" hidden="0" customWidth="1"/>
    <x:col min="4" max="4" width="12" hidden="0" customWidth="1"/>
    <x:col min="5" max="5" width="66" hidden="0" customWidth="1"/>
    <x:col min="6" max="6" width="66" hidden="0" customWidth="1"/>
    <x:col min="7" max="7" width="66" hidden="0" customWidth="1"/>
    <x:col min="8" max="8" width="18" hidden="0" customWidth="1"/>
    <x:col min="9" max="9" width="24" hidden="0" customWidth="1"/>
    <x:col min="10" max="10" width="14" hidden="0" customWidth="1"/>
  </x:cols>
  <x:sheetData>
    <x:row r="1" ht="28" customHeight="1">
      <x:c r="A1" s="236" t="str">
        <x:v>05A_サイズ区間｜ATT-TH 現調数値条件</x:v>
      </x:c>
      <x:c r="B1" s="236"/>
      <x:c r="C1" s="236"/>
      <x:c r="D1" s="236"/>
      <x:c r="E1" s="236"/>
      <x:c r="F1" s="236"/>
      <x:c r="G1" s="236"/>
      <x:c r="H1" s="236"/>
      <x:c r="I1" s="236"/>
      <x:c r="J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241" t="str">
        <x:v>rule_id</x:v>
      </x:c>
      <x:c r="B3" s="242" t="str">
        <x:v>dimension</x:v>
      </x:c>
      <x:c r="C3" s="242" t="str">
        <x:v>min</x:v>
      </x:c>
      <x:c r="D3" s="242" t="str">
        <x:v>max</x:v>
      </x:c>
      <x:c r="E3" s="242" t="str">
        <x:v>exception</x:v>
      </x:c>
      <x:c r="F3" s="242" t="str">
        <x:v>below_min</x:v>
      </x:c>
      <x:c r="G3" s="242" t="str">
        <x:v>above_max</x:v>
      </x:c>
      <x:c r="H3" s="242" t="str">
        <x:v>status</x:v>
      </x:c>
      <x:c r="I3" s="243" t="str">
        <x:v>evidence</x:v>
      </x:c>
    </x:row>
    <x:row r="4" ht="30" customHeight="1">
      <x:c r="A4" s="251" t="str">
        <x:v>ATT-TH-DEPTH</x:v>
      </x:c>
      <x:c r="B4" s="274" t="str">
        <x:v>existing_frame_depth</x:v>
      </x:c>
      <x:c r="C4" s="274" t="n">
        <x:v>0</x:v>
      </x:c>
      <x:c r="D4" s="274" t="n">
        <x:v>90</x:v>
      </x:c>
      <x:c r="E4" s="274" t="str">
        <x:v>—</x:v>
      </x:c>
      <x:c r="F4" s="274" t="str">
        <x:v>—</x:v>
      </x:c>
      <x:c r="G4" s="274" t="str">
        <x:v>取付不可/個別確認</x:v>
      </x:c>
      <x:c r="H4" s="274" t="str">
        <x:v>COMPLETE</x:v>
      </x:c>
      <x:c r="I4" s="252" t="str">
        <x:v>ATT-TH-EV-009</x:v>
      </x:c>
      <x:c r="J4" s="34"/>
    </x:row>
    <x:row r="5">
      <x:c r="A5" s="244" t="str">
        <x:v>ATT-TH-SILL</x:v>
      </x:c>
      <x:c r="B5" s="245" t="str">
        <x:v>lower_frame_rise</x:v>
      </x:c>
      <x:c r="C5" s="245" t="n">
        <x:v>34</x:v>
      </x:c>
      <x:c r="D5" s="245" t="n">
        <x:v>53</x:v>
      </x:c>
      <x:c r="E5" s="245" t="str">
        <x:v>新設サッシが装飾窓かつW&lt;=800mmは補強金具なし→確認不要</x:v>
      </x:c>
      <x:c r="F5" s="245" t="str">
        <x:v>差分スペーサーで持ち上げ、発注寸法を小さくする</x:v>
      </x:c>
      <x:c r="G5" s="245" t="str">
        <x:v>補強金具と既設下枠の間に差分スペーサー</x:v>
      </x:c>
      <x:c r="H5" s="245" t="str">
        <x:v>COMPLETE</x:v>
      </x:c>
      <x:c r="I5" s="246" t="str">
        <x:v>ATT-TH-EV-010</x:v>
      </x:c>
      <x:c r="J5" s="37"/>
    </x:row>
    <x:row r="6">
      <x:c r="A6" s="244" t="str">
        <x:v>ATT-TH-LOCAL-W</x:v>
      </x:c>
      <x:c r="B6" s="245" t="str">
        <x:v>referenced_product_w</x:v>
      </x:c>
      <x:c r="C6" s="245" t="n">
        <x:v>200</x:v>
      </x:c>
      <x:c r="D6" s="245" t="n">
        <x:v>4000</x:v>
      </x:c>
      <x:c r="E6" s="245" t="str">
        <x:v>内嵌め網掛け領域は別確認</x:v>
      </x:c>
      <x:c r="F6" s="245" t="str">
        <x:v>範囲外</x:v>
      </x:c>
      <x:c r="G6" s="245" t="str">
        <x:v>範囲外</x:v>
      </x:c>
      <x:c r="H6" s="245" t="str">
        <x:v>COMPLETE</x:v>
      </x:c>
      <x:c r="I6" s="246" t="str">
        <x:v>ATT-TH-EV-012</x:v>
      </x:c>
      <x:c r="J6" s="37"/>
    </x:row>
    <x:row r="7">
      <x:c r="A7" s="247" t="str">
        <x:v>ATT-TH-LOCAL-H</x:v>
      </x:c>
      <x:c r="B7" s="248" t="str">
        <x:v>referenced_product_h</x:v>
      </x:c>
      <x:c r="C7" s="248" t="n">
        <x:v>200</x:v>
      </x:c>
      <x:c r="D7" s="248" t="n">
        <x:v>2500</x:v>
      </x:c>
      <x:c r="E7" s="248" t="str">
        <x:v>内嵌め網掛け領域は別確認</x:v>
      </x:c>
      <x:c r="F7" s="248" t="str">
        <x:v>範囲外</x:v>
      </x:c>
      <x:c r="G7" s="248" t="str">
        <x:v>範囲外</x:v>
      </x:c>
      <x:c r="H7" s="248" t="str">
        <x:v>COMPLETE</x:v>
      </x:c>
      <x:c r="I7" s="249" t="str">
        <x:v>ATT-TH-EV-012</x:v>
      </x:c>
      <x:c r="J7" s="37"/>
    </x:row>
    <x:row r="8">
      <x:c r="A8" s="35"/>
      <x:c r="B8" s="36"/>
      <x:c r="C8" s="36"/>
      <x:c r="D8" s="36"/>
      <x:c r="E8" s="36"/>
      <x:c r="F8" s="36"/>
      <x:c r="G8" s="36"/>
      <x:c r="H8" s="36"/>
      <x:c r="I8" s="36"/>
      <x:c r="J8" s="37"/>
    </x:row>
    <x:row r="9">
      <x:c r="A9" s="35"/>
      <x:c r="B9" s="36"/>
      <x:c r="C9" s="36"/>
      <x:c r="D9" s="36"/>
      <x:c r="E9" s="36"/>
      <x:c r="F9" s="36"/>
      <x:c r="G9" s="36"/>
      <x:c r="H9" s="36"/>
      <x:c r="I9" s="36"/>
      <x:c r="J9" s="37"/>
    </x:row>
    <x:row r="10">
      <x:c r="A10" s="35"/>
      <x:c r="B10" s="36"/>
      <x:c r="C10" s="36"/>
      <x:c r="D10" s="36"/>
      <x:c r="E10" s="36"/>
      <x:c r="F10" s="36"/>
      <x:c r="G10" s="36"/>
      <x:c r="H10" s="36"/>
      <x:c r="I10" s="36"/>
      <x:c r="J10" s="37"/>
    </x:row>
    <x:row r="11">
      <x:c r="A11" s="35"/>
      <x:c r="B11" s="36"/>
      <x:c r="C11" s="36"/>
      <x:c r="D11" s="36"/>
      <x:c r="E11" s="36"/>
      <x:c r="F11" s="36"/>
      <x:c r="G11" s="36"/>
      <x:c r="H11" s="36"/>
      <x:c r="I11" s="36"/>
      <x:c r="J11" s="37"/>
    </x:row>
    <x:row r="12">
      <x:c r="A12" s="35"/>
      <x:c r="B12" s="36"/>
      <x:c r="C12" s="36"/>
      <x:c r="D12" s="36"/>
      <x:c r="E12" s="36"/>
      <x:c r="F12" s="36"/>
      <x:c r="G12" s="36"/>
      <x:c r="H12" s="36"/>
      <x:c r="I12" s="36"/>
      <x:c r="J12" s="37"/>
    </x:row>
    <x:row r="13">
      <x:c r="A13" s="35"/>
      <x:c r="B13" s="36"/>
      <x:c r="C13" s="36"/>
      <x:c r="D13" s="36"/>
      <x:c r="E13" s="36"/>
      <x:c r="F13" s="36"/>
      <x:c r="G13" s="36"/>
      <x:c r="H13" s="36"/>
      <x:c r="I13" s="36"/>
      <x:c r="J13" s="37"/>
    </x:row>
    <x:row r="14">
      <x:c r="A14" s="35"/>
      <x:c r="B14" s="36"/>
      <x:c r="C14" s="36"/>
      <x:c r="D14" s="36"/>
      <x:c r="E14" s="36"/>
      <x:c r="F14" s="36"/>
      <x:c r="G14" s="36"/>
      <x:c r="H14" s="36"/>
      <x:c r="I14" s="36"/>
      <x:c r="J14" s="37"/>
    </x:row>
    <x:row r="15">
      <x:c r="A15" s="35"/>
      <x:c r="B15" s="36"/>
      <x:c r="C15" s="36"/>
      <x:c r="D15" s="36"/>
      <x:c r="E15" s="36"/>
      <x:c r="F15" s="36"/>
      <x:c r="G15" s="36"/>
      <x:c r="H15" s="36"/>
      <x:c r="I15" s="36"/>
      <x:c r="J15" s="37"/>
    </x:row>
    <x:row r="16">
      <x:c r="A16" s="38"/>
      <x:c r="B16" s="39"/>
      <x:c r="C16" s="39"/>
      <x:c r="D16" s="39"/>
      <x:c r="E16" s="39"/>
      <x:c r="F16" s="39"/>
      <x:c r="G16" s="39"/>
      <x:c r="H16" s="39"/>
      <x:c r="I16" s="39"/>
      <x:c r="J16" s="40"/>
    </x:row>
  </x:sheetData>
  <x:mergeCells>
    <x:mergeCell ref="A1:J1"/>
    <x:mergeCell ref="A2:J2"/>
    <x:mergeCell ref="A1:H1"/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8" hidden="0" customWidth="1"/>
    <x:col min="4" max="4" width="78" hidden="0" customWidth="1"/>
    <x:col min="5" max="5" width="30" hidden="0" customWidth="1"/>
    <x:col min="6" max="6" width="30" hidden="0" customWidth="1"/>
    <x:col min="7" max="7" width="24" hidden="0" customWidth="1"/>
    <x:col min="8" max="8" width="14" hidden="0" customWidth="1"/>
  </x:cols>
  <x:sheetData>
    <x:row r="1" ht="28" customHeight="1">
      <x:c r="A1" s="236" t="str">
        <x:v>05B_境界ルール｜ATT-TH</x:v>
      </x:c>
      <x:c r="B1" s="236"/>
      <x:c r="C1" s="236"/>
      <x:c r="D1" s="236"/>
      <x:c r="E1" s="236"/>
      <x:c r="F1" s="236"/>
      <x:c r="G1" s="236"/>
      <x:c r="H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241" t="str">
        <x:v>boundary_rule_id</x:v>
      </x:c>
      <x:c r="B3" s="242" t="str">
        <x:v>scope</x:v>
      </x:c>
      <x:c r="C3" s="242" t="str">
        <x:v>boundary_type</x:v>
      </x:c>
      <x:c r="D3" s="242" t="str">
        <x:v>official_rule</x:v>
      </x:c>
      <x:c r="E3" s="242" t="str">
        <x:v>auto_mode</x:v>
      </x:c>
      <x:c r="F3" s="242" t="str">
        <x:v>status</x:v>
      </x:c>
      <x:c r="G3" s="243" t="str">
        <x:v>evidence</x:v>
      </x:c>
    </x:row>
    <x:row r="4" ht="30" customHeight="1">
      <x:c r="A4" s="251" t="str">
        <x:v>ATT-TH-BR-REF</x:v>
      </x:c>
      <x:c r="B4" s="274" t="str">
        <x:v>referenced_product_size</x:v>
      </x:c>
      <x:c r="C4" s="274" t="str">
        <x:v>REFERENCE</x:v>
      </x:c>
      <x:c r="D4" s="274" t="str">
        <x:v>各サーモス正本の規格/特注ルールへ委譲</x:v>
      </x:c>
      <x:c r="E4" s="274" t="str">
        <x:v>REFERENCE_VALIDATION</x:v>
      </x:c>
      <x:c r="F4" s="274" t="str">
        <x:v>COMPLETE</x:v>
      </x:c>
      <x:c r="G4" s="252" t="str">
        <x:v>ATT-TH-EV-003,005</x:v>
      </x:c>
      <x:c r="H4" s="34"/>
    </x:row>
    <x:row r="5">
      <x:c r="A5" s="244" t="str">
        <x:v>ATT-TH-BR-INNER</x:v>
      </x:c>
      <x:c r="B5" s="245" t="str">
        <x:v>inner_fit</x:v>
      </x:c>
      <x:c r="C5" s="245" t="str">
        <x:v>GRAPH</x:v>
      </x:c>
      <x:c r="D5" s="245" t="str">
        <x:v>p138網掛け内嵌め製作範囲</x:v>
      </x:c>
      <x:c r="E5" s="245" t="str">
        <x:v>EXTERNAL_CHECK</x:v>
      </x:c>
      <x:c r="F5" s="245" t="str">
        <x:v>COMPLETE_WITH_EXTERNAL_CHECK</x:v>
      </x:c>
      <x:c r="G5" s="246" t="str">
        <x:v>ATT-TH-EV-012</x:v>
      </x:c>
      <x:c r="H5" s="37"/>
    </x:row>
    <x:row r="6">
      <x:c r="A6" s="244" t="str">
        <x:v>ATT-TH-BR-COUPLED</x:v>
      </x:c>
      <x:c r="B6" s="245" t="str">
        <x:v>coupled</x:v>
      </x:c>
      <x:c r="C6" s="245" t="str">
        <x:v>GRAPH+FORMULA</x:v>
      </x:c>
      <x:c r="D6" s="245" t="str">
        <x:v>総W=W1+15+W2、耐風圧グラフ境界</x:v>
      </x:c>
      <x:c r="E6" s="245" t="str">
        <x:v>FORMULA+EXTERNAL</x:v>
      </x:c>
      <x:c r="F6" s="245" t="str">
        <x:v>COMPLETE_WITH_EXTERNAL_CHECK</x:v>
      </x:c>
      <x:c r="G6" s="246" t="str">
        <x:v>ATT-TH-EV-012</x:v>
      </x:c>
      <x:c r="H6" s="37"/>
    </x:row>
    <x:row r="7">
      <x:c r="A7" s="244" t="str">
        <x:v>ATT-TH-BR-STACKED</x:v>
      </x:c>
      <x:c r="B7" s="245" t="str">
        <x:v>stacked</x:v>
      </x:c>
      <x:c r="C7" s="245" t="str">
        <x:v>CURVE+FORMULA</x:v>
      </x:c>
      <x:c r="D7" s="245" t="str">
        <x:v>総H=H1+30+H2、H1曲線制限</x:v>
      </x:c>
      <x:c r="E7" s="245" t="str">
        <x:v>FORMULA+EXTERNAL</x:v>
      </x:c>
      <x:c r="F7" s="245" t="str">
        <x:v>COMPLETE_WITH_EXTERNAL_CHECK</x:v>
      </x:c>
      <x:c r="G7" s="246" t="str">
        <x:v>ATT-TH-EV-012</x:v>
      </x:c>
      <x:c r="H7" s="37"/>
    </x:row>
    <x:row r="8">
      <x:c r="A8" s="244" t="str">
        <x:v>ATT-TH-BR-WIND</x:v>
      </x:c>
      <x:c r="B8" s="245" t="str">
        <x:v>wind_pressure</x:v>
      </x:c>
      <x:c r="C8" s="245" t="str">
        <x:v>EXTERNAL</x:v>
      </x:c>
      <x:c r="D8" s="245" t="str">
        <x:v>通常見積で要求等級入力は取らない</x:v>
      </x:c>
      <x:c r="E8" s="245" t="str">
        <x:v>EXTERNAL_CHECK</x:v>
      </x:c>
      <x:c r="F8" s="245" t="str">
        <x:v>COMPLETE_WITH_EXTERNAL_CHECK</x:v>
      </x:c>
      <x:c r="G8" s="246" t="str">
        <x:v>ATT-TH-EV-001,015</x:v>
      </x:c>
      <x:c r="H8" s="37"/>
    </x:row>
    <x:row r="9">
      <x:c r="A9" s="247" t="str">
        <x:v>ATT-TH-BR-GLASS</x:v>
      </x:c>
      <x:c r="B9" s="248" t="str">
        <x:v>glass_area/load</x:v>
      </x:c>
      <x:c r="C9" s="248" t="str">
        <x:v>EXTERNAL</x:v>
      </x:c>
      <x:c r="D9" s="248" t="str">
        <x:v>参照先サーモスマスター/見積システム最終判定</x:v>
      </x:c>
      <x:c r="E9" s="248" t="str">
        <x:v>EXTERNAL_CHECK</x:v>
      </x:c>
      <x:c r="F9" s="248" t="str">
        <x:v>COMPLETE_WITH_EXTERNAL_CHECK</x:v>
      </x:c>
      <x:c r="G9" s="249" t="str">
        <x:v>ATT-TH-EV-003,005,015</x:v>
      </x:c>
      <x:c r="H9" s="37"/>
    </x:row>
    <x:row r="10">
      <x:c r="A10" s="35"/>
      <x:c r="B10" s="36"/>
      <x:c r="C10" s="36"/>
      <x:c r="D10" s="36"/>
      <x:c r="E10" s="36"/>
      <x:c r="F10" s="36"/>
      <x:c r="G10" s="36"/>
      <x:c r="H10" s="37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5"/>
      <x:c r="B15" s="36"/>
      <x:c r="C15" s="36"/>
      <x:c r="D15" s="36"/>
      <x:c r="E15" s="36"/>
      <x:c r="F15" s="36"/>
      <x:c r="G15" s="36"/>
      <x:c r="H15" s="37"/>
    </x:row>
    <x:row r="16">
      <x:c r="A16" s="38"/>
      <x:c r="B16" s="39"/>
      <x:c r="C16" s="39"/>
      <x:c r="D16" s="39"/>
      <x:c r="E16" s="39"/>
      <x:c r="F16" s="39"/>
      <x:c r="G16" s="39"/>
      <x:c r="H16" s="40"/>
    </x:row>
  </x:sheetData>
  <x:mergeCells>
    <x:mergeCell ref="A1:H1"/>
    <x:mergeCell ref="A2:H2"/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44" hidden="0" customWidth="1"/>
    <x:col min="5" max="5" width="30" hidden="0" customWidth="1"/>
    <x:col min="6" max="6" width="30" hidden="0" customWidth="1"/>
    <x:col min="7" max="7" width="30" hidden="0" customWidth="1"/>
    <x:col min="8" max="8" width="24" hidden="0" customWidth="1"/>
  </x:cols>
  <x:sheetData>
    <x:row r="1" ht="28" customHeight="1">
      <x:c r="A1" s="236" t="str">
        <x:v>06_色｜ATT-TH ローカル部材色</x:v>
      </x:c>
      <x:c r="B1" s="236"/>
      <x:c r="C1" s="236"/>
      <x:c r="D1" s="236"/>
      <x:c r="E1" s="236"/>
      <x:c r="F1" s="236"/>
      <x:c r="G1" s="236"/>
      <x:c r="H1" s="236"/>
    </x:row>
    <x:row r="2" ht="42" customHeight="1">
      <x:c r="A2" s="237" t="str">
        <x:v>サーモス本体色は参照先正本。樹脂アングルカバーはp36の公式色を保持し、参照本体の内観色表示名に合わせて候補を絞る。</x:v>
      </x:c>
      <x:c r="B2" s="237"/>
      <x:c r="C2" s="237"/>
      <x:c r="D2" s="237"/>
      <x:c r="E2" s="237"/>
      <x:c r="F2" s="237"/>
      <x:c r="G2" s="237"/>
      <x:c r="H2" s="237"/>
    </x:row>
    <x:row r="3" ht="30" customHeight="1">
      <x:c r="A3" s="32"/>
      <x:c r="B3" s="33"/>
      <x:c r="C3" s="33"/>
      <x:c r="D3" s="33"/>
      <x:c r="E3" s="33"/>
      <x:c r="F3" s="33"/>
      <x:c r="G3" s="33"/>
      <x:c r="H3" s="34"/>
    </x:row>
    <x:row r="4">
      <x:c r="A4" s="270" t="str">
        <x:v>color_id</x:v>
      </x:c>
      <x:c r="B4" s="271" t="str">
        <x:v>color_role</x:v>
      </x:c>
      <x:c r="C4" s="271" t="str">
        <x:v>code</x:v>
      </x:c>
      <x:c r="D4" s="271" t="str">
        <x:v>正式名称/扱い</x:v>
      </x:c>
      <x:c r="E4" s="271" t="str">
        <x:v>selection_mode</x:v>
      </x:c>
      <x:c r="F4" s="271" t="str">
        <x:v>対象</x:v>
      </x:c>
      <x:c r="G4" s="271" t="str">
        <x:v>status</x:v>
      </x:c>
      <x:c r="H4" s="276" t="str">
        <x:v>evidence</x:v>
      </x:c>
    </x:row>
    <x:row r="5">
      <x:c r="A5" s="244" t="str">
        <x:v>ATT-TH-COV-T</x:v>
      </x:c>
      <x:c r="B5" s="245" t="str">
        <x:v>exterior_cover_color</x:v>
      </x:c>
      <x:c r="C5" s="245" t="str">
        <x:v>T</x:v>
      </x:c>
      <x:c r="D5" s="245" t="str">
        <x:v>ブラック</x:v>
      </x:c>
      <x:c r="E5" s="245" t="str">
        <x:v>USER_SELECT</x:v>
      </x:c>
      <x:c r="F5" s="245" t="str">
        <x:v>化粧カバー</x:v>
      </x:c>
      <x:c r="G5" s="245" t="str">
        <x:v>COMPLETE</x:v>
      </x:c>
      <x:c r="H5" s="246" t="str">
        <x:v>ATT-TH-EV-002</x:v>
      </x:c>
    </x:row>
    <x:row r="6">
      <x:c r="A6" s="244" t="str">
        <x:v>ATT-TH-COV-G</x:v>
      </x:c>
      <x:c r="B6" s="245" t="str">
        <x:v>exterior_cover_color</x:v>
      </x:c>
      <x:c r="C6" s="245" t="str">
        <x:v>G</x:v>
      </x:c>
      <x:c r="D6" s="245" t="str">
        <x:v>オータムブラウン</x:v>
      </x:c>
      <x:c r="E6" s="245" t="str">
        <x:v>USER_SELECT</x:v>
      </x:c>
      <x:c r="F6" s="245" t="str">
        <x:v>化粧カバー</x:v>
      </x:c>
      <x:c r="G6" s="245" t="str">
        <x:v>COMPLETE</x:v>
      </x:c>
      <x:c r="H6" s="246" t="str">
        <x:v>ATT-TH-EV-002</x:v>
      </x:c>
    </x:row>
    <x:row r="7">
      <x:c r="A7" s="244" t="str">
        <x:v>ATT-TH-COV-K</x:v>
      </x:c>
      <x:c r="B7" s="245" t="str">
        <x:v>exterior_cover_color</x:v>
      </x:c>
      <x:c r="C7" s="245" t="str">
        <x:v>K</x:v>
      </x:c>
      <x:c r="D7" s="245" t="str">
        <x:v>シャイングレー</x:v>
      </x:c>
      <x:c r="E7" s="245" t="str">
        <x:v>USER_SELECT</x:v>
      </x:c>
      <x:c r="F7" s="245" t="str">
        <x:v>化粧カバー</x:v>
      </x:c>
      <x:c r="G7" s="245" t="str">
        <x:v>COMPLETE</x:v>
      </x:c>
      <x:c r="H7" s="246" t="str">
        <x:v>ATT-TH-EV-002</x:v>
      </x:c>
    </x:row>
    <x:row r="8">
      <x:c r="A8" s="244" t="str">
        <x:v>ATT-TH-COV-D</x:v>
      </x:c>
      <x:c r="B8" s="245" t="str">
        <x:v>exterior_cover_color</x:v>
      </x:c>
      <x:c r="C8" s="245" t="str">
        <x:v>D</x:v>
      </x:c>
      <x:c r="D8" s="245" t="str">
        <x:v>ナチュラルシルバー</x:v>
      </x:c>
      <x:c r="E8" s="245" t="str">
        <x:v>USER_SELECT</x:v>
      </x:c>
      <x:c r="F8" s="245" t="str">
        <x:v>化粧カバー</x:v>
      </x:c>
      <x:c r="G8" s="245" t="str">
        <x:v>COMPLETE</x:v>
      </x:c>
      <x:c r="H8" s="246" t="str">
        <x:v>ATT-TH-EV-002</x:v>
      </x:c>
    </x:row>
    <x:row r="9">
      <x:c r="A9" s="244" t="str">
        <x:v>ATT-TH-COV-W</x:v>
      </x:c>
      <x:c r="B9" s="245" t="str">
        <x:v>exterior_cover_color</x:v>
      </x:c>
      <x:c r="C9" s="245" t="str">
        <x:v>W</x:v>
      </x:c>
      <x:c r="D9" s="245" t="str">
        <x:v>ホワイト</x:v>
      </x:c>
      <x:c r="E9" s="245" t="str">
        <x:v>USER_SELECT</x:v>
      </x:c>
      <x:c r="F9" s="245" t="str">
        <x:v>化粧カバー</x:v>
      </x:c>
      <x:c r="G9" s="245" t="str">
        <x:v>COMPLETE</x:v>
      </x:c>
      <x:c r="H9" s="246" t="str">
        <x:v>ATT-TH-EV-002</x:v>
      </x:c>
    </x:row>
    <x:row r="10">
      <x:c r="A10" s="244" t="str">
        <x:v>ATT-TH-ANG-M</x:v>
      </x:c>
      <x:c r="B10" s="245" t="str">
        <x:v>interior_cover_color</x:v>
      </x:c>
      <x:c r="C10" s="245" t="str">
        <x:v>M</x:v>
      </x:c>
      <x:c r="D10" s="245" t="str">
        <x:v>ブラック</x:v>
      </x:c>
      <x:c r="E10" s="245" t="str">
        <x:v>AUTO/USER_SELECT</x:v>
      </x:c>
      <x:c r="F10" s="245" t="str">
        <x:v>樹脂アングルカバー</x:v>
      </x:c>
      <x:c r="G10" s="245" t="str">
        <x:v>COMPLETE</x:v>
      </x:c>
      <x:c r="H10" s="246" t="str">
        <x:v>ATT-TH-EV-002</x:v>
      </x:c>
    </x:row>
    <x:row r="11">
      <x:c r="A11" s="244" t="str">
        <x:v>ATT-TH-ANG-G</x:v>
      </x:c>
      <x:c r="B11" s="245" t="str">
        <x:v>interior_cover_color</x:v>
      </x:c>
      <x:c r="C11" s="245" t="str">
        <x:v>G</x:v>
      </x:c>
      <x:c r="D11" s="245" t="str">
        <x:v>オータムブラウン</x:v>
      </x:c>
      <x:c r="E11" s="245" t="str">
        <x:v>AUTO/USER_SELECT</x:v>
      </x:c>
      <x:c r="F11" s="245" t="str">
        <x:v>樹脂アングルカバー</x:v>
      </x:c>
      <x:c r="G11" s="245" t="str">
        <x:v>COMPLETE</x:v>
      </x:c>
      <x:c r="H11" s="246" t="str">
        <x:v>ATT-TH-EV-002</x:v>
      </x:c>
    </x:row>
    <x:row r="12">
      <x:c r="A12" s="244" t="str">
        <x:v>ATT-TH-ANG-K</x:v>
      </x:c>
      <x:c r="B12" s="245" t="str">
        <x:v>interior_cover_color</x:v>
      </x:c>
      <x:c r="C12" s="245" t="str">
        <x:v>K</x:v>
      </x:c>
      <x:c r="D12" s="245" t="str">
        <x:v>シャイングレー</x:v>
      </x:c>
      <x:c r="E12" s="245" t="str">
        <x:v>AUTO/USER_SELECT</x:v>
      </x:c>
      <x:c r="F12" s="245" t="str">
        <x:v>樹脂アングルカバー</x:v>
      </x:c>
      <x:c r="G12" s="245" t="str">
        <x:v>COMPLETE</x:v>
      </x:c>
      <x:c r="H12" s="246" t="str">
        <x:v>ATT-TH-EV-002</x:v>
      </x:c>
    </x:row>
    <x:row r="13">
      <x:c r="A13" s="244" t="str">
        <x:v>ATT-TH-ANG-D</x:v>
      </x:c>
      <x:c r="B13" s="245" t="str">
        <x:v>interior_cover_color</x:v>
      </x:c>
      <x:c r="C13" s="245" t="str">
        <x:v>D</x:v>
      </x:c>
      <x:c r="D13" s="245" t="str">
        <x:v>ナチュラルシルバー</x:v>
      </x:c>
      <x:c r="E13" s="245" t="str">
        <x:v>AUTO/USER_SELECT</x:v>
      </x:c>
      <x:c r="F13" s="245" t="str">
        <x:v>樹脂アングルカバー</x:v>
      </x:c>
      <x:c r="G13" s="245" t="str">
        <x:v>COMPLETE</x:v>
      </x:c>
      <x:c r="H13" s="246" t="str">
        <x:v>ATT-TH-EV-002</x:v>
      </x:c>
    </x:row>
    <x:row r="14">
      <x:c r="A14" s="244" t="str">
        <x:v>ATT-TH-ANG-W</x:v>
      </x:c>
      <x:c r="B14" s="245" t="str">
        <x:v>interior_cover_color</x:v>
      </x:c>
      <x:c r="C14" s="245" t="str">
        <x:v>W</x:v>
      </x:c>
      <x:c r="D14" s="245" t="str">
        <x:v>ホワイト</x:v>
      </x:c>
      <x:c r="E14" s="245" t="str">
        <x:v>AUTO/USER_SELECT</x:v>
      </x:c>
      <x:c r="F14" s="245" t="str">
        <x:v>樹脂アングルカバー</x:v>
      </x:c>
      <x:c r="G14" s="245" t="str">
        <x:v>COMPLETE</x:v>
      </x:c>
      <x:c r="H14" s="246" t="str">
        <x:v>ATT-TH-EV-002</x:v>
      </x:c>
    </x:row>
    <x:row r="15">
      <x:c r="A15" s="244" t="str">
        <x:v>ATT-TH-ANG-C</x:v>
      </x:c>
      <x:c r="B15" s="245" t="str">
        <x:v>interior_cover_color</x:v>
      </x:c>
      <x:c r="C15" s="245" t="str">
        <x:v>C</x:v>
      </x:c>
      <x:c r="D15" s="245" t="str">
        <x:v>クリエモカP</x:v>
      </x:c>
      <x:c r="E15" s="245" t="str">
        <x:v>AUTO/USER_SELECT</x:v>
      </x:c>
      <x:c r="F15" s="245" t="str">
        <x:v>樹脂アングルカバー</x:v>
      </x:c>
      <x:c r="G15" s="245" t="str">
        <x:v>COMPLETE</x:v>
      </x:c>
      <x:c r="H15" s="246" t="str">
        <x:v>ATT-TH-EV-002</x:v>
      </x:c>
    </x:row>
    <x:row r="16">
      <x:c r="A16" s="244" t="str">
        <x:v>ATT-TH-ANG-B</x:v>
      </x:c>
      <x:c r="B16" s="245" t="str">
        <x:v>interior_cover_color</x:v>
      </x:c>
      <x:c r="C16" s="245" t="str">
        <x:v>B</x:v>
      </x:c>
      <x:c r="D16" s="245" t="str">
        <x:v>クリエラスクP</x:v>
      </x:c>
      <x:c r="E16" s="245" t="str">
        <x:v>AUTO/USER_SELECT</x:v>
      </x:c>
      <x:c r="F16" s="245" t="str">
        <x:v>樹脂アングルカバー</x:v>
      </x:c>
      <x:c r="G16" s="245" t="str">
        <x:v>COMPLETE</x:v>
      </x:c>
      <x:c r="H16" s="246" t="str">
        <x:v>ATT-TH-EV-002</x:v>
      </x:c>
    </x:row>
    <x:row r="17">
      <x:c r="A17" s="244" t="str">
        <x:v>ATT-TH-ANG-P</x:v>
      </x:c>
      <x:c r="B17" s="245" t="str">
        <x:v>interior_cover_color</x:v>
      </x:c>
      <x:c r="C17" s="245" t="str">
        <x:v>P</x:v>
      </x:c>
      <x:c r="D17" s="245" t="str">
        <x:v>クリエペールP</x:v>
      </x:c>
      <x:c r="E17" s="245" t="str">
        <x:v>AUTO/USER_SELECT</x:v>
      </x:c>
      <x:c r="F17" s="245" t="str">
        <x:v>樹脂アングルカバー</x:v>
      </x:c>
      <x:c r="G17" s="245" t="str">
        <x:v>COMPLETE</x:v>
      </x:c>
      <x:c r="H17" s="246" t="str">
        <x:v>ATT-TH-EV-002</x:v>
      </x:c>
    </x:row>
    <x:row r="18">
      <x:c r="A18" s="244" t="str">
        <x:v>ATT-TH-ANG-F</x:v>
      </x:c>
      <x:c r="B18" s="245" t="str">
        <x:v>interior_cover_color</x:v>
      </x:c>
      <x:c r="C18" s="245" t="str">
        <x:v>F</x:v>
      </x:c>
      <x:c r="D18" s="245" t="str">
        <x:v>プレシャスホワイトP</x:v>
      </x:c>
      <x:c r="E18" s="245" t="str">
        <x:v>AUTO/USER_SELECT</x:v>
      </x:c>
      <x:c r="F18" s="245" t="str">
        <x:v>樹脂アングルカバー</x:v>
      </x:c>
      <x:c r="G18" s="245" t="str">
        <x:v>COMPLETE</x:v>
      </x:c>
      <x:c r="H18" s="246" t="str">
        <x:v>ATT-TH-EV-002</x:v>
      </x:c>
    </x:row>
    <x:row r="19">
      <x:c r="A19" s="244" t="str">
        <x:v>ATT-TH-SASH-REF</x:v>
      </x:c>
      <x:c r="B19" s="245" t="str">
        <x:v>sash_color</x:v>
      </x:c>
      <x:c r="C19" s="245" t="str">
        <x:v>REFERENCE</x:v>
      </x:c>
      <x:c r="D19" s="245" t="str">
        <x:v>各サーモス正本</x:v>
      </x:c>
      <x:c r="E19" s="245" t="str">
        <x:v>REFERENCE_ONLY</x:v>
      </x:c>
      <x:c r="F19" s="245" t="str">
        <x:v>新設サッシ本体</x:v>
      </x:c>
      <x:c r="G19" s="245" t="str">
        <x:v>COMPLETE</x:v>
      </x:c>
      <x:c r="H19" s="246" t="str">
        <x:v>ATT-TH-EV-003,005</x:v>
      </x:c>
    </x:row>
    <x:row r="20">
      <x:c r="A20" s="247" t="str">
        <x:v>ATT-TH-A-COLOR</x:v>
      </x:c>
      <x:c r="B20" s="248" t="str">
        <x:v>sash_color</x:v>
      </x:c>
      <x:c r="C20" s="248" t="str">
        <x:v>REFERENCE</x:v>
      </x:c>
      <x:c r="D20" s="248" t="str">
        <x:v>SER-LIX-SAMOSA / 05_COLOR_MASTER</x:v>
      </x:c>
      <x:c r="E20" s="248" t="str">
        <x:v>REFERENCE_ONLY</x:v>
      </x:c>
      <x:c r="F20" s="248" t="str">
        <x:v>新設サッシ本体</x:v>
      </x:c>
      <x:c r="G20" s="248" t="str">
        <x:v>COMPLETE</x:v>
      </x:c>
      <x:c r="H20" s="249" t="str">
        <x:v>ATT-TH-EV-016</x:v>
      </x:c>
    </x:row>
    <x:row r="21">
      <x:c r="A21" s="35"/>
      <x:c r="B21" s="36"/>
      <x:c r="C21" s="36"/>
      <x:c r="D21" s="36"/>
      <x:c r="E21" s="36"/>
      <x:c r="F21" s="36"/>
      <x:c r="G21" s="36"/>
      <x:c r="H21" s="37"/>
    </x:row>
    <x:row r="22">
      <x:c r="A22" s="35"/>
      <x:c r="B22" s="36"/>
      <x:c r="C22" s="36"/>
      <x:c r="D22" s="36"/>
      <x:c r="E22" s="36"/>
      <x:c r="F22" s="36"/>
      <x:c r="G22" s="36"/>
      <x:c r="H22" s="37"/>
    </x:row>
    <x:row r="23">
      <x:c r="A23" s="35"/>
      <x:c r="B23" s="36"/>
      <x:c r="C23" s="36"/>
      <x:c r="D23" s="36"/>
      <x:c r="E23" s="36"/>
      <x:c r="F23" s="36"/>
      <x:c r="G23" s="36"/>
      <x:c r="H23" s="37"/>
    </x:row>
    <x:row r="24">
      <x:c r="A24" s="35"/>
      <x:c r="B24" s="36"/>
      <x:c r="C24" s="36"/>
      <x:c r="D24" s="36"/>
      <x:c r="E24" s="36"/>
      <x:c r="F24" s="36"/>
      <x:c r="G24" s="36"/>
      <x:c r="H24" s="37"/>
    </x:row>
    <x:row r="25">
      <x:c r="A25" s="35"/>
      <x:c r="B25" s="36"/>
      <x:c r="C25" s="36"/>
      <x:c r="D25" s="36"/>
      <x:c r="E25" s="36"/>
      <x:c r="F25" s="36"/>
      <x:c r="G25" s="36"/>
      <x:c r="H25" s="37"/>
    </x:row>
    <x:row r="26">
      <x:c r="A26" s="35"/>
      <x:c r="B26" s="36"/>
      <x:c r="C26" s="36"/>
      <x:c r="D26" s="36"/>
      <x:c r="E26" s="36"/>
      <x:c r="F26" s="36"/>
      <x:c r="G26" s="36"/>
      <x:c r="H26" s="37"/>
    </x:row>
    <x:row r="27">
      <x:c r="A27" s="35"/>
      <x:c r="B27" s="36"/>
      <x:c r="C27" s="36"/>
      <x:c r="D27" s="36"/>
      <x:c r="E27" s="36"/>
      <x:c r="F27" s="36"/>
      <x:c r="G27" s="36"/>
      <x:c r="H27" s="37"/>
    </x:row>
    <x:row r="28">
      <x:c r="A28" s="35"/>
      <x:c r="B28" s="36"/>
      <x:c r="C28" s="36"/>
      <x:c r="D28" s="36"/>
      <x:c r="E28" s="36"/>
      <x:c r="F28" s="36"/>
      <x:c r="G28" s="36"/>
      <x:c r="H28" s="37"/>
    </x:row>
    <x:row r="29">
      <x:c r="A29" s="38"/>
      <x:c r="B29" s="39"/>
      <x:c r="C29" s="39"/>
      <x:c r="D29" s="39"/>
      <x:c r="E29" s="39"/>
      <x:c r="F29" s="39"/>
      <x:c r="G29" s="39"/>
      <x:c r="H29" s="40"/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8" hidden="0" customWidth="1"/>
    <x:col min="4" max="4" width="62" hidden="0" customWidth="1"/>
    <x:col min="5" max="5" width="34" hidden="0" customWidth="1"/>
    <x:col min="6" max="6" width="30" hidden="0" customWidth="1"/>
    <x:col min="7" max="7" width="24" hidden="0" customWidth="1"/>
    <x:col min="8" max="8" width="24" hidden="0" customWidth="1"/>
    <x:col min="9" max="9" width="16" hidden="0" customWidth="1"/>
  </x:cols>
  <x:sheetData>
    <x:row r="1" ht="28" customHeight="1">
      <x:c r="A1" s="236" t="str">
        <x:v>06A_色適用条件｜ATT-TH</x:v>
      </x:c>
      <x:c r="B1" s="236"/>
      <x:c r="C1" s="236"/>
      <x:c r="D1" s="236"/>
      <x:c r="E1" s="236"/>
      <x:c r="F1" s="236"/>
      <x:c r="G1" s="236"/>
      <x:c r="H1" s="178"/>
      <x:c r="I1" s="4"/>
    </x:row>
    <x:row r="3" ht="30" customHeight="1">
      <x:c r="A3" s="241" t="str">
        <x:v>rule_id</x:v>
      </x:c>
      <x:c r="B3" s="242" t="str">
        <x:v>referenced_series</x:v>
      </x:c>
      <x:c r="C3" s="242" t="str">
        <x:v>referenced_interior_rule</x:v>
      </x:c>
      <x:c r="D3" s="242" t="str">
        <x:v>local_cover_rule</x:v>
      </x:c>
      <x:c r="E3" s="242" t="str">
        <x:v>ui_action</x:v>
      </x:c>
      <x:c r="F3" s="242" t="str">
        <x:v>status</x:v>
      </x:c>
      <x:c r="G3" s="243" t="str">
        <x:v>evidence</x:v>
      </x:c>
      <x:c r="H3" s="183"/>
      <x:c r="I3" s="34"/>
    </x:row>
    <x:row r="4">
      <x:c r="A4" s="244" t="str">
        <x:v>ATT-TH-CM-S2H</x:v>
      </x:c>
      <x:c r="B4" s="245" t="str">
        <x:v>SER-LIX-SAMOS2H</x:v>
      </x:c>
      <x:c r="C4" s="245" t="str">
        <x:v>サーモスⅡ-H正本の内観色を参照</x:v>
      </x:c>
      <x:c r="D4" s="245" t="str">
        <x:v>樹脂アングル：M/C/B/P/F対応</x:v>
      </x:c>
      <x:c r="E4" s="245" t="str">
        <x:v>FILTER_BY_REFERENCED_INTERIOR</x:v>
      </x:c>
      <x:c r="F4" s="245" t="str">
        <x:v>COMPLETE</x:v>
      </x:c>
      <x:c r="G4" s="246" t="str">
        <x:v>ATT-TH-EV-002,003</x:v>
      </x:c>
      <x:c r="H4" s="189"/>
      <x:c r="I4" s="37"/>
    </x:row>
    <x:row r="5">
      <x:c r="A5" s="244" t="str">
        <x:v>ATT-TH-CM-SL</x:v>
      </x:c>
      <x:c r="B5" s="245" t="str">
        <x:v>SER-LIX-SAMOSL</x:v>
      </x:c>
      <x:c r="C5" s="245" t="str">
        <x:v>サーモスL正本の内観表示色を参照</x:v>
      </x:c>
      <x:c r="D5" s="245" t="str">
        <x:v>ブラック→M、G/K/D/Wは同名色へ</x:v>
      </x:c>
      <x:c r="E5" s="245" t="str">
        <x:v>FILTER_BY_REFERENCED_INTERIOR</x:v>
      </x:c>
      <x:c r="F5" s="245" t="str">
        <x:v>COMPLETE</x:v>
      </x:c>
      <x:c r="G5" s="246" t="str">
        <x:v>ATT-TH-EV-002,005</x:v>
      </x:c>
      <x:c r="H5" s="39"/>
      <x:c r="I5" s="40"/>
    </x:row>
    <x:row r="6">
      <x:c r="A6" s="244" t="str">
        <x:v>ATT-TH-CM-SA</x:v>
      </x:c>
      <x:c r="B6" s="245" t="str">
        <x:v>SER-LIX-SAMOSA</x:v>
      </x:c>
      <x:c r="C6" s="245" t="str">
        <x:v>サーモスA正本 05_COLOR_MASTER / 15_DEPENDENCY_RULE を参照</x:v>
      </x:c>
      <x:c r="D6" s="245" t="str">
        <x:v>ATT-TH施工部材色のみローカル保持</x:v>
      </x:c>
      <x:c r="E6" s="245" t="str">
        <x:v>FILTER_BY_REFERENCED_MASTER</x:v>
      </x:c>
      <x:c r="F6" s="245" t="str">
        <x:v>COMPLETE</x:v>
      </x:c>
      <x:c r="G6" s="246" t="str">
        <x:v>ATT-TH-EV-002,016,017</x:v>
      </x:c>
    </x:row>
    <x:row r="7">
      <x:c r="A7" s="247" t="str">
        <x:v>ATT-TH-CM-COV</x:v>
      </x:c>
      <x:c r="B7" s="248" t="str">
        <x:v>ALL_READY_SERIES</x:v>
      </x:c>
      <x:c r="C7" s="248" t="str">
        <x:v>本体外観色は参照のみ</x:v>
      </x:c>
      <x:c r="D7" s="248" t="str">
        <x:v>化粧カバー T/G/K/D/W</x:v>
      </x:c>
      <x:c r="E7" s="248" t="str">
        <x:v>SHOW_5_COLORS</x:v>
      </x:c>
      <x:c r="F7" s="248" t="str">
        <x:v>COMPLETE</x:v>
      </x:c>
      <x:c r="G7" s="249" t="str">
        <x:v>ATT-TH-EV-002</x:v>
      </x:c>
    </x:row>
  </x:sheetData>
  <x:mergeCells>
    <x:mergeCell ref="A1:I1"/>
    <x:mergeCell ref="A1:H1"/>
    <x:mergeCell ref="A1:G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6" hidden="0" customWidth="1"/>
    <x:col min="4" max="4" width="16" hidden="0" customWidth="1"/>
    <x:col min="5" max="5" width="82" hidden="0" customWidth="1"/>
    <x:col min="6" max="6" width="30" hidden="0" customWidth="1"/>
    <x:col min="7" max="7" width="24" hidden="0" customWidth="1"/>
    <x:col min="8" max="8" width="14" hidden="0" customWidth="1"/>
    <x:col min="9" max="9" width="18" hidden="0" customWidth="1"/>
  </x:cols>
  <x:sheetData>
    <x:row r="1" ht="28" customHeight="1">
      <x:c r="A1" s="236" t="str">
        <x:v>07_網戸｜サーモス正本参照</x:v>
      </x:c>
      <x:c r="B1" s="236"/>
      <x:c r="C1" s="236"/>
      <x:c r="D1" s="236"/>
      <x:c r="E1" s="236"/>
      <x:c r="F1" s="236"/>
      <x:c r="G1" s="236"/>
      <x:c r="H1" s="127"/>
      <x:c r="I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  <x:c r="I2" s="133"/>
    </x:row>
    <x:row r="3">
      <x:c r="A3" s="241" t="str">
        <x:v>record_id</x:v>
      </x:c>
      <x:c r="B3" s="242" t="str">
        <x:v>source</x:v>
      </x:c>
      <x:c r="C3" s="242" t="str">
        <x:v>scope</x:v>
      </x:c>
      <x:c r="D3" s="242" t="str">
        <x:v>local_copy</x:v>
      </x:c>
      <x:c r="E3" s="242" t="str">
        <x:v>restriction</x:v>
      </x:c>
      <x:c r="F3" s="242" t="str">
        <x:v>status</x:v>
      </x:c>
      <x:c r="G3" s="243" t="str">
        <x:v>evidence</x:v>
      </x:c>
    </x:row>
    <x:row r="4" ht="30" customHeight="1">
      <x:c r="A4" s="251" t="str">
        <x:v>ATT-TH-SCREEN-S2H</x:v>
      </x:c>
      <x:c r="B4" s="274" t="str">
        <x:v>SAMOS2H_MASTER</x:v>
      </x:c>
      <x:c r="C4" s="274" t="str">
        <x:v>referenced_window/spec</x:v>
      </x:c>
      <x:c r="D4" s="274" t="str">
        <x:v>NO</x:v>
      </x:c>
      <x:c r="E4" s="274" t="str">
        <x:v>参照先正本の網戸設定・サイズ制御を使用</x:v>
      </x:c>
      <x:c r="F4" s="274" t="str">
        <x:v>COMPLETE</x:v>
      </x:c>
      <x:c r="G4" s="252" t="str">
        <x:v>ATT-TH-EV-003</x:v>
      </x:c>
      <x:c r="H4" s="142"/>
      <x:c r="I4" s="143"/>
    </x:row>
    <x:row r="5">
      <x:c r="A5" s="244" t="str">
        <x:v>ATT-TH-SCREEN-SL</x:v>
      </x:c>
      <x:c r="B5" s="245" t="str">
        <x:v>SAMOSL_MASTER</x:v>
      </x:c>
      <x:c r="C5" s="245" t="str">
        <x:v>referenced_window/spec</x:v>
      </x:c>
      <x:c r="D5" s="245" t="str">
        <x:v>NO</x:v>
      </x:c>
      <x:c r="E5" s="245" t="str">
        <x:v>参照先正本の網戸設定・サイズ制御を使用</x:v>
      </x:c>
      <x:c r="F5" s="245" t="str">
        <x:v>COMPLETE</x:v>
      </x:c>
      <x:c r="G5" s="246" t="str">
        <x:v>ATT-TH-EV-005</x:v>
      </x:c>
      <x:c r="H5" s="145"/>
      <x:c r="I5" s="146"/>
    </x:row>
    <x:row r="6">
      <x:c r="A6" s="247" t="str">
        <x:v>ATT-TH-SCREEN-SA</x:v>
      </x:c>
      <x:c r="B6" s="248" t="str">
        <x:v>SAMOSA_MASTER</x:v>
      </x:c>
      <x:c r="C6" s="248" t="str">
        <x:v>ATT-TH supported SAMOSA windows</x:v>
      </x:c>
      <x:c r="D6" s="248" t="str">
        <x:v>NO</x:v>
      </x:c>
      <x:c r="E6" s="248" t="str">
        <x:v>07_SCREEN_MASTER + 14_SIZE_AVAILABILITY + 15_DEPENDENCY_RULEを参照</x:v>
      </x:c>
      <x:c r="F6" s="248" t="str">
        <x:v>COMPLETE</x:v>
      </x:c>
      <x:c r="G6" s="249" t="str">
        <x:v>ATT-TH-EV-016,017</x:v>
      </x:c>
      <x:c r="H6" s="145"/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7"/>
      <x:c r="B11" s="148"/>
      <x:c r="C11" s="148"/>
      <x:c r="D11" s="148"/>
      <x:c r="E11" s="148"/>
      <x:c r="F11" s="148"/>
      <x:c r="G11" s="148"/>
      <x:c r="H11" s="148"/>
      <x:c r="I11" s="149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2:H2"/>
    <x:mergeCell ref="A1:I1"/>
    <x:mergeCell ref="A2:I2"/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70" hidden="0" customWidth="1"/>
    <x:col min="4" max="4" width="22" hidden="0" customWidth="1"/>
    <x:col min="5" max="5" width="30" hidden="0" customWidth="1"/>
    <x:col min="6" max="6" width="24" hidden="0" customWidth="1"/>
    <x:col min="7" max="7" width="52" hidden="0" customWidth="1"/>
    <x:col min="8" max="8" width="14" hidden="0" customWidth="1"/>
    <x:col min="9" max="9" width="18" hidden="0" customWidth="1"/>
  </x:cols>
  <x:sheetData>
    <x:row r="1" ht="28" customHeight="1">
      <x:c r="A1" s="236" t="str">
        <x:v>07A_網戸適用条件｜ATT-TH差分</x:v>
      </x:c>
      <x:c r="B1" s="236"/>
      <x:c r="C1" s="236"/>
      <x:c r="D1" s="236"/>
      <x:c r="E1" s="236"/>
      <x:c r="F1" s="236"/>
      <x:c r="G1" s="127"/>
      <x:c r="H1" s="127"/>
      <x:c r="I1" s="127"/>
    </x:row>
    <x:row r="3" ht="30" customHeight="1">
      <x:c r="A3" s="241" t="str">
        <x:v>rule_id</x:v>
      </x:c>
      <x:c r="B3" s="242" t="str">
        <x:v>series_scope</x:v>
      </x:c>
      <x:c r="C3" s="242" t="str">
        <x:v>condition</x:v>
      </x:c>
      <x:c r="D3" s="242" t="str">
        <x:v>result</x:v>
      </x:c>
      <x:c r="E3" s="242" t="str">
        <x:v>status</x:v>
      </x:c>
      <x:c r="F3" s="243" t="str">
        <x:v>evidence</x:v>
      </x:c>
      <x:c r="G3" s="142"/>
      <x:c r="H3" s="142"/>
      <x:c r="I3" s="143"/>
    </x:row>
    <x:row r="4">
      <x:c r="A4" s="244" t="str">
        <x:v>ATT-TH-SCR-001</x:v>
      </x:c>
      <x:c r="B4" s="245" t="str">
        <x:v>SER-LIX-SAMOS2H</x:v>
      </x:c>
      <x:c r="C4" s="245" t="str">
        <x:v>MASTER_SCREEN_RULE</x:v>
      </x:c>
      <x:c r="D4" s="245" t="str">
        <x:v>REFERENCE</x:v>
      </x:c>
      <x:c r="E4" s="245" t="str">
        <x:v>COMPLETE</x:v>
      </x:c>
      <x:c r="F4" s="246" t="str">
        <x:v>ATT-TH-EV-003</x:v>
      </x:c>
      <x:c r="G4" s="145"/>
      <x:c r="H4" s="145"/>
      <x:c r="I4" s="146"/>
    </x:row>
    <x:row r="5">
      <x:c r="A5" s="244" t="str">
        <x:v>ATT-TH-SCR-002</x:v>
      </x:c>
      <x:c r="B5" s="245" t="str">
        <x:v>SER-LIX-SAMOSL</x:v>
      </x:c>
      <x:c r="C5" s="245" t="str">
        <x:v>MASTER_SCREEN_RULE</x:v>
      </x:c>
      <x:c r="D5" s="245" t="str">
        <x:v>REFERENCE</x:v>
      </x:c>
      <x:c r="E5" s="245" t="str">
        <x:v>COMPLETE</x:v>
      </x:c>
      <x:c r="F5" s="246" t="str">
        <x:v>ATT-TH-EV-005</x:v>
      </x:c>
      <x:c r="G5" s="145"/>
      <x:c r="H5" s="145"/>
      <x:c r="I5" s="146"/>
    </x:row>
    <x:row r="6">
      <x:c r="A6" s="247" t="str">
        <x:v>ATT-TH-SCR-003</x:v>
      </x:c>
      <x:c r="B6" s="248" t="str">
        <x:v>SER-LIX-SAMOSA</x:v>
      </x:c>
      <x:c r="C6" s="248" t="str">
        <x:v>SAMOSA_MASTER_SCREEN_RULE</x:v>
      </x:c>
      <x:c r="D6" s="248" t="str">
        <x:v>REFERENCE</x:v>
      </x:c>
      <x:c r="E6" s="248" t="str">
        <x:v>COMPLETE</x:v>
      </x:c>
      <x:c r="F6" s="249" t="str">
        <x:v>ATT-TH-EV-016,017</x:v>
      </x:c>
      <x:c r="G6" s="145"/>
      <x:c r="H6" s="145"/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7"/>
      <x:c r="B13" s="148"/>
      <x:c r="C13" s="148"/>
      <x:c r="D13" s="148"/>
      <x:c r="E13" s="148"/>
      <x:c r="F13" s="148"/>
      <x:c r="G13" s="148"/>
      <x:c r="H13" s="148"/>
      <x:c r="I13" s="149"/>
    </x:row>
  </x:sheetData>
  <x:mergeCells>
    <x:mergeCell ref="A1:H1"/>
    <x:mergeCell ref="A1:I1"/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6" hidden="0" customWidth="1"/>
    <x:col min="4" max="4" width="16" hidden="0" customWidth="1"/>
    <x:col min="5" max="5" width="84" hidden="0" customWidth="1"/>
    <x:col min="6" max="6" width="30" hidden="0" customWidth="1"/>
    <x:col min="7" max="7" width="24" hidden="0" customWidth="1"/>
    <x:col min="8" max="8" width="18" hidden="0" customWidth="1"/>
  </x:cols>
  <x:sheetData>
    <x:row r="1" ht="28" customHeight="1">
      <x:c r="A1" s="236" t="str">
        <x:v>08_ガラス｜サーモス正本参照</x:v>
      </x:c>
      <x:c r="B1" s="236"/>
      <x:c r="C1" s="236"/>
      <x:c r="D1" s="236"/>
      <x:c r="E1" s="236"/>
      <x:c r="F1" s="236"/>
      <x:c r="G1" s="236"/>
      <x:c r="H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</x:row>
    <x:row r="3">
      <x:c r="A3" s="241" t="str">
        <x:v>record_id</x:v>
      </x:c>
      <x:c r="B3" s="242" t="str">
        <x:v>source</x:v>
      </x:c>
      <x:c r="C3" s="242" t="str">
        <x:v>scope</x:v>
      </x:c>
      <x:c r="D3" s="242" t="str">
        <x:v>local_copy</x:v>
      </x:c>
      <x:c r="E3" s="242" t="str">
        <x:v>restriction</x:v>
      </x:c>
      <x:c r="F3" s="242" t="str">
        <x:v>status</x:v>
      </x:c>
      <x:c r="G3" s="243" t="str">
        <x:v>evidence</x:v>
      </x:c>
    </x:row>
    <x:row r="4" ht="30" customHeight="1">
      <x:c r="A4" s="251" t="str">
        <x:v>ATT-TH-GLASS-S2H</x:v>
      </x:c>
      <x:c r="B4" s="274" t="str">
        <x:v>SAMOS2H_MASTER</x:v>
      </x:c>
      <x:c r="C4" s="274" t="str">
        <x:v>referenced_window/spec</x:v>
      </x:c>
      <x:c r="D4" s="274" t="str">
        <x:v>NO</x:v>
      </x:c>
      <x:c r="E4" s="274" t="str">
        <x:v>ガラス・ガス・スペーサー・機能ガラスは正本参照</x:v>
      </x:c>
      <x:c r="F4" s="274" t="str">
        <x:v>COMPLETE</x:v>
      </x:c>
      <x:c r="G4" s="252" t="str">
        <x:v>ATT-TH-EV-003</x:v>
      </x:c>
      <x:c r="H4" s="143"/>
    </x:row>
    <x:row r="5">
      <x:c r="A5" s="244" t="str">
        <x:v>ATT-TH-GLASS-SL</x:v>
      </x:c>
      <x:c r="B5" s="245" t="str">
        <x:v>SAMOSL_MASTER</x:v>
      </x:c>
      <x:c r="C5" s="245" t="str">
        <x:v>referenced_window/spec</x:v>
      </x:c>
      <x:c r="D5" s="245" t="str">
        <x:v>NO</x:v>
      </x:c>
      <x:c r="E5" s="245" t="str">
        <x:v>ガラス・ガス・スペーサー・機能ガラスは正本参照</x:v>
      </x:c>
      <x:c r="F5" s="245" t="str">
        <x:v>COMPLETE</x:v>
      </x:c>
      <x:c r="G5" s="246" t="str">
        <x:v>ATT-TH-EV-005</x:v>
      </x:c>
      <x:c r="H5" s="146"/>
    </x:row>
    <x:row r="6">
      <x:c r="A6" s="247" t="str">
        <x:v>ATT-TH-GLASS-SA</x:v>
      </x:c>
      <x:c r="B6" s="248" t="str">
        <x:v>SAMOSA_MASTER</x:v>
      </x:c>
      <x:c r="C6" s="248" t="str">
        <x:v>ATT-TH supported SAMOSA windows</x:v>
      </x:c>
      <x:c r="D6" s="248" t="str">
        <x:v>NO</x:v>
      </x:c>
      <x:c r="E6" s="248" t="str">
        <x:v>06_GLASS_MASTER + 14_SIZE_AVAILABILITY + 15_DEPENDENCY_RULEを参照</x:v>
      </x:c>
      <x:c r="F6" s="248" t="str">
        <x:v>COMPLETE</x:v>
      </x:c>
      <x:c r="G6" s="249" t="str">
        <x:v>ATT-TH-EV-016,017</x:v>
      </x:c>
      <x:c r="H6" s="146"/>
    </x:row>
    <x:row r="7">
      <x:c r="A7" s="144"/>
      <x:c r="B7" s="145"/>
      <x:c r="C7" s="145"/>
      <x:c r="D7" s="145"/>
      <x:c r="E7" s="145"/>
      <x:c r="F7" s="145"/>
      <x:c r="G7" s="145"/>
      <x:c r="H7" s="146"/>
    </x:row>
    <x:row r="8">
      <x:c r="A8" s="144"/>
      <x:c r="B8" s="145"/>
      <x:c r="C8" s="145"/>
      <x:c r="D8" s="145"/>
      <x:c r="E8" s="145"/>
      <x:c r="F8" s="145"/>
      <x:c r="G8" s="145"/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7"/>
      <x:c r="B11" s="148"/>
      <x:c r="C11" s="148"/>
      <x:c r="D11" s="148"/>
      <x:c r="E11" s="148"/>
      <x:c r="F11" s="148"/>
      <x:c r="G11" s="148"/>
      <x:c r="H11" s="149"/>
    </x:row>
  </x:sheetData>
  <x:mergeCells>
    <x:mergeCell ref="A1:H1"/>
    <x:mergeCell ref="A2:H2"/>
    <x:mergeCell ref="A1:G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72" hidden="0" customWidth="1"/>
    <x:col min="4" max="4" width="30" hidden="0" customWidth="1"/>
    <x:col min="5" max="5" width="30" hidden="0" customWidth="1"/>
    <x:col min="6" max="6" width="24" hidden="0" customWidth="1"/>
    <x:col min="7" max="7" width="14" hidden="0" customWidth="1"/>
    <x:col min="8" max="8" width="18" hidden="0" customWidth="1"/>
  </x:cols>
  <x:sheetData>
    <x:row r="1" ht="28" customHeight="1">
      <x:c r="A1" s="236" t="str">
        <x:v>08A_ガラス適用条件｜ATT-TH差分</x:v>
      </x:c>
      <x:c r="B1" s="236"/>
      <x:c r="C1" s="236"/>
      <x:c r="D1" s="236"/>
      <x:c r="E1" s="236"/>
      <x:c r="F1" s="236"/>
      <x:c r="G1" s="127"/>
      <x:c r="H1" s="127"/>
    </x:row>
    <x:row r="3" ht="30" customHeight="1">
      <x:c r="A3" s="241" t="str">
        <x:v>rule_id</x:v>
      </x:c>
      <x:c r="B3" s="242" t="str">
        <x:v>series_scope</x:v>
      </x:c>
      <x:c r="C3" s="242" t="str">
        <x:v>condition</x:v>
      </x:c>
      <x:c r="D3" s="242" t="str">
        <x:v>result</x:v>
      </x:c>
      <x:c r="E3" s="242" t="str">
        <x:v>status</x:v>
      </x:c>
      <x:c r="F3" s="243" t="str">
        <x:v>evidence</x:v>
      </x:c>
      <x:c r="G3" s="142"/>
      <x:c r="H3" s="143"/>
    </x:row>
    <x:row r="4">
      <x:c r="A4" s="244" t="str">
        <x:v>ATT-TH-GL-001</x:v>
      </x:c>
      <x:c r="B4" s="245" t="str">
        <x:v>SER-LIX-SAMOS2H</x:v>
      </x:c>
      <x:c r="C4" s="245" t="str">
        <x:v>MASTER_GLASS_RULE</x:v>
      </x:c>
      <x:c r="D4" s="245" t="str">
        <x:v>REFERENCE</x:v>
      </x:c>
      <x:c r="E4" s="245" t="str">
        <x:v>COMPLETE</x:v>
      </x:c>
      <x:c r="F4" s="246" t="str">
        <x:v>ATT-TH-EV-003</x:v>
      </x:c>
      <x:c r="G4" s="145"/>
      <x:c r="H4" s="146"/>
    </x:row>
    <x:row r="5">
      <x:c r="A5" s="244" t="str">
        <x:v>ATT-TH-GL-002</x:v>
      </x:c>
      <x:c r="B5" s="245" t="str">
        <x:v>SER-LIX-SAMOSL</x:v>
      </x:c>
      <x:c r="C5" s="245" t="str">
        <x:v>MASTER_GLASS_RULE</x:v>
      </x:c>
      <x:c r="D5" s="245" t="str">
        <x:v>REFERENCE</x:v>
      </x:c>
      <x:c r="E5" s="245" t="str">
        <x:v>COMPLETE</x:v>
      </x:c>
      <x:c r="F5" s="246" t="str">
        <x:v>ATT-TH-EV-005</x:v>
      </x:c>
      <x:c r="G5" s="145"/>
      <x:c r="H5" s="146"/>
    </x:row>
    <x:row r="6">
      <x:c r="A6" s="244" t="str">
        <x:v>ATT-TH-GL-003</x:v>
      </x:c>
      <x:c r="B6" s="245" t="str">
        <x:v>SPECIAL_SIZE</x:v>
      </x:c>
      <x:c r="C6" s="245" t="str">
        <x:v>glass_area/load/wind</x:v>
      </x:c>
      <x:c r="D6" s="245" t="str">
        <x:v>EXTERNAL_CHECK</x:v>
      </x:c>
      <x:c r="E6" s="245" t="str">
        <x:v>COMPLETE_WITH_EXTERNAL_CHECK</x:v>
      </x:c>
      <x:c r="F6" s="246" t="str">
        <x:v>ATT-TH-EV-015</x:v>
      </x:c>
      <x:c r="G6" s="145"/>
      <x:c r="H6" s="146"/>
    </x:row>
    <x:row r="7">
      <x:c r="A7" s="247" t="str">
        <x:v>ATT-TH-GL-004</x:v>
      </x:c>
      <x:c r="B7" s="248" t="str">
        <x:v>SER-LIX-SAMOSA</x:v>
      </x:c>
      <x:c r="C7" s="248" t="str">
        <x:v>SAMOSA_MASTER_GLASS_RULE</x:v>
      </x:c>
      <x:c r="D7" s="248" t="str">
        <x:v>REFERENCE</x:v>
      </x:c>
      <x:c r="E7" s="248" t="str">
        <x:v>COMPLETE</x:v>
      </x:c>
      <x:c r="F7" s="249" t="str">
        <x:v>ATT-TH-EV-016,017</x:v>
      </x:c>
      <x:c r="G7" s="145"/>
      <x:c r="H7" s="146"/>
    </x:row>
    <x:row r="8">
      <x:c r="A8" s="144"/>
      <x:c r="B8" s="145"/>
      <x:c r="C8" s="145"/>
      <x:c r="D8" s="145"/>
      <x:c r="E8" s="145"/>
      <x:c r="F8" s="145"/>
      <x:c r="G8" s="145"/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4"/>
      <x:c r="B11" s="145"/>
      <x:c r="C11" s="145"/>
      <x:c r="D11" s="145"/>
      <x:c r="E11" s="145"/>
      <x:c r="F11" s="145"/>
      <x:c r="G11" s="145"/>
      <x:c r="H11" s="146"/>
    </x:row>
    <x:row r="12">
      <x:c r="A12" s="144"/>
      <x:c r="B12" s="145"/>
      <x:c r="C12" s="145"/>
      <x:c r="D12" s="145"/>
      <x:c r="E12" s="145"/>
      <x:c r="F12" s="145"/>
      <x:c r="G12" s="145"/>
      <x:c r="H12" s="146"/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4"/>
      <x:c r="B15" s="145"/>
      <x:c r="C15" s="145"/>
      <x:c r="D15" s="145"/>
      <x:c r="E15" s="145"/>
      <x:c r="F15" s="145"/>
      <x:c r="G15" s="145"/>
      <x:c r="H15" s="146"/>
    </x:row>
    <x:row r="16">
      <x:c r="A16" s="144"/>
      <x:c r="B16" s="145"/>
      <x:c r="C16" s="145"/>
      <x:c r="D16" s="145"/>
      <x:c r="E16" s="145"/>
      <x:c r="F16" s="145"/>
      <x:c r="G16" s="145"/>
      <x:c r="H16" s="146"/>
    </x:row>
    <x:row r="17">
      <x:c r="A17" s="144"/>
      <x:c r="B17" s="145"/>
      <x:c r="C17" s="145"/>
      <x:c r="D17" s="145"/>
      <x:c r="E17" s="145"/>
      <x:c r="F17" s="145"/>
      <x:c r="G17" s="145"/>
      <x:c r="H17" s="146"/>
    </x:row>
    <x:row r="18">
      <x:c r="A18" s="144"/>
      <x:c r="B18" s="145"/>
      <x:c r="C18" s="145"/>
      <x:c r="D18" s="145"/>
      <x:c r="E18" s="145"/>
      <x:c r="F18" s="145"/>
      <x:c r="G18" s="145"/>
      <x:c r="H18" s="146"/>
    </x:row>
    <x:row r="19">
      <x:c r="A19" s="144"/>
      <x:c r="B19" s="145"/>
      <x:c r="C19" s="145"/>
      <x:c r="D19" s="145"/>
      <x:c r="E19" s="145"/>
      <x:c r="F19" s="145"/>
      <x:c r="G19" s="145"/>
      <x:c r="H19" s="146"/>
    </x:row>
    <x:row r="20">
      <x:c r="A20" s="144"/>
      <x:c r="B20" s="145"/>
      <x:c r="C20" s="145"/>
      <x:c r="D20" s="145"/>
      <x:c r="E20" s="145"/>
      <x:c r="F20" s="145"/>
      <x:c r="G20" s="145"/>
      <x:c r="H20" s="146"/>
    </x:row>
    <x:row r="21">
      <x:c r="A21" s="144"/>
      <x:c r="B21" s="145"/>
      <x:c r="C21" s="145"/>
      <x:c r="D21" s="145"/>
      <x:c r="E21" s="145"/>
      <x:c r="F21" s="145"/>
      <x:c r="G21" s="145"/>
      <x:c r="H21" s="146"/>
    </x:row>
    <x:row r="22">
      <x:c r="A22" s="144"/>
      <x:c r="B22" s="145"/>
      <x:c r="C22" s="145"/>
      <x:c r="D22" s="145"/>
      <x:c r="E22" s="145"/>
      <x:c r="F22" s="145"/>
      <x:c r="G22" s="145"/>
      <x:c r="H22" s="146"/>
    </x:row>
    <x:row r="23">
      <x:c r="A23" s="144"/>
      <x:c r="B23" s="145"/>
      <x:c r="C23" s="145"/>
      <x:c r="D23" s="145"/>
      <x:c r="E23" s="145"/>
      <x:c r="F23" s="145"/>
      <x:c r="G23" s="145"/>
      <x:c r="H23" s="146"/>
    </x:row>
    <x:row r="24">
      <x:c r="A24" s="144"/>
      <x:c r="B24" s="145"/>
      <x:c r="C24" s="145"/>
      <x:c r="D24" s="145"/>
      <x:c r="E24" s="145"/>
      <x:c r="F24" s="145"/>
      <x:c r="G24" s="145"/>
      <x:c r="H24" s="146"/>
    </x:row>
    <x:row r="25">
      <x:c r="A25" s="144"/>
      <x:c r="B25" s="145"/>
      <x:c r="C25" s="145"/>
      <x:c r="D25" s="145"/>
      <x:c r="E25" s="145"/>
      <x:c r="F25" s="145"/>
      <x:c r="G25" s="145"/>
      <x:c r="H25" s="146"/>
    </x:row>
    <x:row r="26">
      <x:c r="A26" s="144"/>
      <x:c r="B26" s="145"/>
      <x:c r="C26" s="145"/>
      <x:c r="D26" s="145"/>
      <x:c r="E26" s="145"/>
      <x:c r="F26" s="145"/>
      <x:c r="G26" s="145"/>
      <x:c r="H26" s="146"/>
    </x:row>
    <x:row r="27">
      <x:c r="A27" s="144"/>
      <x:c r="B27" s="145"/>
      <x:c r="C27" s="145"/>
      <x:c r="D27" s="145"/>
      <x:c r="E27" s="145"/>
      <x:c r="F27" s="145"/>
      <x:c r="G27" s="145"/>
      <x:c r="H27" s="146"/>
    </x:row>
    <x:row r="28">
      <x:c r="A28" s="144"/>
      <x:c r="B28" s="145"/>
      <x:c r="C28" s="145"/>
      <x:c r="D28" s="145"/>
      <x:c r="E28" s="145"/>
      <x:c r="F28" s="145"/>
      <x:c r="G28" s="145"/>
      <x:c r="H28" s="146"/>
    </x:row>
    <x:row r="29">
      <x:c r="A29" s="144"/>
      <x:c r="B29" s="145"/>
      <x:c r="C29" s="145"/>
      <x:c r="D29" s="145"/>
      <x:c r="E29" s="145"/>
      <x:c r="F29" s="145"/>
      <x:c r="G29" s="145"/>
      <x:c r="H29" s="146"/>
    </x:row>
    <x:row r="30">
      <x:c r="A30" s="144"/>
      <x:c r="B30" s="145"/>
      <x:c r="C30" s="145"/>
      <x:c r="D30" s="145"/>
      <x:c r="E30" s="145"/>
      <x:c r="F30" s="145"/>
      <x:c r="G30" s="145"/>
      <x:c r="H30" s="146"/>
    </x:row>
    <x:row r="31">
      <x:c r="A31" s="144"/>
      <x:c r="B31" s="145"/>
      <x:c r="C31" s="145"/>
      <x:c r="D31" s="145"/>
      <x:c r="E31" s="145"/>
      <x:c r="F31" s="145"/>
      <x:c r="G31" s="145"/>
      <x:c r="H31" s="146"/>
    </x:row>
    <x:row r="32">
      <x:c r="A32" s="144"/>
      <x:c r="B32" s="145"/>
      <x:c r="C32" s="145"/>
      <x:c r="D32" s="145"/>
      <x:c r="E32" s="145"/>
      <x:c r="F32" s="145"/>
      <x:c r="G32" s="145"/>
      <x:c r="H32" s="146"/>
    </x:row>
    <x:row r="33">
      <x:c r="A33" s="144"/>
      <x:c r="B33" s="145"/>
      <x:c r="C33" s="145"/>
      <x:c r="D33" s="145"/>
      <x:c r="E33" s="145"/>
      <x:c r="F33" s="145"/>
      <x:c r="G33" s="145"/>
      <x:c r="H33" s="146"/>
    </x:row>
    <x:row r="34">
      <x:c r="A34" s="144"/>
      <x:c r="B34" s="145"/>
      <x:c r="C34" s="145"/>
      <x:c r="D34" s="145"/>
      <x:c r="E34" s="145"/>
      <x:c r="F34" s="145"/>
      <x:c r="G34" s="145"/>
      <x:c r="H34" s="146"/>
    </x:row>
    <x:row r="35">
      <x:c r="A35" s="144"/>
      <x:c r="B35" s="145"/>
      <x:c r="C35" s="145"/>
      <x:c r="D35" s="145"/>
      <x:c r="E35" s="145"/>
      <x:c r="F35" s="145"/>
      <x:c r="G35" s="145"/>
      <x:c r="H35" s="146"/>
    </x:row>
    <x:row r="36">
      <x:c r="A36" s="144"/>
      <x:c r="B36" s="145"/>
      <x:c r="C36" s="145"/>
      <x:c r="D36" s="145"/>
      <x:c r="E36" s="145"/>
      <x:c r="F36" s="145"/>
      <x:c r="G36" s="145"/>
      <x:c r="H36" s="146"/>
    </x:row>
    <x:row r="37">
      <x:c r="A37" s="144"/>
      <x:c r="B37" s="145"/>
      <x:c r="C37" s="145"/>
      <x:c r="D37" s="145"/>
      <x:c r="E37" s="145"/>
      <x:c r="F37" s="145"/>
      <x:c r="G37" s="145"/>
      <x:c r="H37" s="146"/>
    </x:row>
    <x:row r="38">
      <x:c r="A38" s="144"/>
      <x:c r="B38" s="145"/>
      <x:c r="C38" s="145"/>
      <x:c r="D38" s="145"/>
      <x:c r="E38" s="145"/>
      <x:c r="F38" s="145"/>
      <x:c r="G38" s="145"/>
      <x:c r="H38" s="146"/>
    </x:row>
    <x:row r="39">
      <x:c r="A39" s="144"/>
      <x:c r="B39" s="145"/>
      <x:c r="C39" s="145"/>
      <x:c r="D39" s="145"/>
      <x:c r="E39" s="145"/>
      <x:c r="F39" s="145"/>
      <x:c r="G39" s="145"/>
      <x:c r="H39" s="146"/>
    </x:row>
    <x:row r="40">
      <x:c r="A40" s="144"/>
      <x:c r="B40" s="145"/>
      <x:c r="C40" s="145"/>
      <x:c r="D40" s="145"/>
      <x:c r="E40" s="145"/>
      <x:c r="F40" s="145"/>
      <x:c r="G40" s="145"/>
      <x:c r="H40" s="146"/>
    </x:row>
    <x:row r="41">
      <x:c r="A41" s="144"/>
      <x:c r="B41" s="145"/>
      <x:c r="C41" s="145"/>
      <x:c r="D41" s="145"/>
      <x:c r="E41" s="145"/>
      <x:c r="F41" s="145"/>
      <x:c r="G41" s="145"/>
      <x:c r="H41" s="146"/>
    </x:row>
    <x:row r="42">
      <x:c r="A42" s="147"/>
      <x:c r="B42" s="148"/>
      <x:c r="C42" s="148"/>
      <x:c r="D42" s="148"/>
      <x:c r="E42" s="148"/>
      <x:c r="F42" s="148"/>
      <x:c r="G42" s="148"/>
      <x:c r="H42" s="149"/>
    </x:row>
  </x:sheetData>
  <x:mergeCells>
    <x:mergeCell ref="A1:H1"/>
    <x:mergeCell ref="A1:F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24" hidden="0" customWidth="1"/>
    <x:col min="4" max="4" width="30" hidden="0" customWidth="1"/>
    <x:col min="5" max="5" width="78" hidden="0" customWidth="1"/>
    <x:col min="6" max="6" width="30" hidden="0" customWidth="1"/>
    <x:col min="7" max="7" width="24" hidden="0" customWidth="1"/>
    <x:col min="8" max="8" width="16" hidden="0" customWidth="1"/>
  </x:cols>
  <x:sheetData>
    <x:row r="1" ht="28" customHeight="1">
      <x:c r="A1" s="236" t="str">
        <x:v>09_その他OP｜ATT-TH ローカル部材</x:v>
      </x:c>
      <x:c r="B1" s="236"/>
      <x:c r="C1" s="236"/>
      <x:c r="D1" s="236"/>
      <x:c r="E1" s="236"/>
      <x:c r="F1" s="236"/>
      <x:c r="G1" s="236"/>
      <x:c r="H1" s="4"/>
    </x:row>
    <x:row r="3" ht="30" customHeight="1">
      <x:c r="A3" s="241" t="str">
        <x:v>option_id</x:v>
      </x:c>
      <x:c r="B3" s="242" t="str">
        <x:v>公式名称</x:v>
      </x:c>
      <x:c r="C3" s="242" t="str">
        <x:v>分類</x:v>
      </x:c>
      <x:c r="D3" s="242" t="str">
        <x:v>selection_role</x:v>
      </x:c>
      <x:c r="E3" s="242" t="str">
        <x:v>主要条件</x:v>
      </x:c>
      <x:c r="F3" s="242" t="str">
        <x:v>status</x:v>
      </x:c>
      <x:c r="G3" s="243" t="str">
        <x:v>evidence</x:v>
      </x:c>
      <x:c r="H3" s="34"/>
    </x:row>
    <x:row r="4">
      <x:c r="A4" s="244" t="str">
        <x:v>ATT-TH-OP-CONNECT-SCREW</x:v>
      </x:c>
      <x:c r="B4" s="245" t="str">
        <x:v>アタッチ枠連結ねじ</x:v>
      </x:c>
      <x:c r="C4" s="245" t="str">
        <x:v>施工部材</x:v>
      </x:c>
      <x:c r="D4" s="245" t="str">
        <x:v>SYSTEM_REQUIRED</x:v>
      </x:c>
      <x:c r="E4" s="245" t="str">
        <x:v>全ATT-TH：サーモス別途手配のため必須</x:v>
      </x:c>
      <x:c r="F4" s="245" t="str">
        <x:v>COMPLETE</x:v>
      </x:c>
      <x:c r="G4" s="246" t="str">
        <x:v>ATT-TH-EV-004,013</x:v>
      </x:c>
      <x:c r="H4" s="37"/>
    </x:row>
    <x:row r="5">
      <x:c r="A5" s="244" t="str">
        <x:v>ATT-TH-OP-AIRTIGHT</x:v>
      </x:c>
      <x:c r="B5" s="245" t="str">
        <x:v>気密テープ</x:v>
      </x:c>
      <x:c r="C5" s="245" t="str">
        <x:v>施工部材</x:v>
      </x:c>
      <x:c r="D5" s="245" t="str">
        <x:v>SYSTEM_REQUIRED</x:v>
      </x:c>
      <x:c r="E5" s="245" t="str">
        <x:v>気密・水密性能確保のため必須</x:v>
      </x:c>
      <x:c r="F5" s="245" t="str">
        <x:v>COMPLETE</x:v>
      </x:c>
      <x:c r="G5" s="246" t="str">
        <x:v>ATT-TH-EV-013</x:v>
      </x:c>
      <x:c r="H5" s="37"/>
    </x:row>
    <x:row r="6">
      <x:c r="A6" s="244" t="str">
        <x:v>ATT-TH-OP-ANGLE-MITER</x:v>
      </x:c>
      <x:c r="B6" s="245" t="str">
        <x:v>樹脂アングルカバー（見切材付）</x:v>
      </x:c>
      <x:c r="C6" s="245" t="str">
        <x:v>室内部材</x:v>
      </x:c>
      <x:c r="D6" s="245" t="str">
        <x:v>USER_SELECT</x:v>
      </x:c>
      <x:c r="E6" s="245" t="str">
        <x:v>公式セット価格内訳</x:v>
      </x:c>
      <x:c r="F6" s="245" t="str">
        <x:v>COMPLETE</x:v>
      </x:c>
      <x:c r="G6" s="246" t="str">
        <x:v>ATT-TH-EV-002,012</x:v>
      </x:c>
      <x:c r="H6" s="37"/>
    </x:row>
    <x:row r="7">
      <x:c r="A7" s="244" t="str">
        <x:v>ATT-TH-OP-ANGLE-NOMITER</x:v>
      </x:c>
      <x:c r="B7" s="245" t="str">
        <x:v>樹脂アングルカバー（見切材無）</x:v>
      </x:c>
      <x:c r="C7" s="245" t="str">
        <x:v>室内部材</x:v>
      </x:c>
      <x:c r="D7" s="245" t="str">
        <x:v>USER_SELECT</x:v>
      </x:c>
      <x:c r="E7" s="245" t="str">
        <x:v>選択可能</x:v>
      </x:c>
      <x:c r="F7" s="245" t="str">
        <x:v>COMPLETE</x:v>
      </x:c>
      <x:c r="G7" s="246" t="str">
        <x:v>ATT-TH-EV-012</x:v>
      </x:c>
      <x:c r="H7" s="37"/>
    </x:row>
    <x:row r="8">
      <x:c r="A8" s="244" t="str">
        <x:v>ATT-TH-OP-MULLION</x:v>
      </x:c>
      <x:c r="B8" s="245" t="str">
        <x:v>連窓方立（装飾窓用）</x:v>
      </x:c>
      <x:c r="C8" s="245" t="str">
        <x:v>構造部材</x:v>
      </x:c>
      <x:c r="D8" s="245" t="str">
        <x:v>CONDITIONAL_REQUIRED</x:v>
      </x:c>
      <x:c r="E8" s="245" t="str">
        <x:v>opening_configuration=COUPLED</x:v>
      </x:c>
      <x:c r="F8" s="245" t="str">
        <x:v>COMPLETE_WITH_EXTERNAL_CHECK</x:v>
      </x:c>
      <x:c r="G8" s="246" t="str">
        <x:v>ATT-TH-EV-012</x:v>
      </x:c>
      <x:c r="H8" s="37"/>
    </x:row>
    <x:row r="9">
      <x:c r="A9" s="244" t="str">
        <x:v>ATT-TH-OP-TRANSOM</x:v>
      </x:c>
      <x:c r="B9" s="245" t="str">
        <x:v>段窓無目</x:v>
      </x:c>
      <x:c r="C9" s="245" t="str">
        <x:v>構造部材</x:v>
      </x:c>
      <x:c r="D9" s="245" t="str">
        <x:v>CONDITIONAL_REQUIRED</x:v>
      </x:c>
      <x:c r="E9" s="245" t="str">
        <x:v>opening_configuration=STACKED</x:v>
      </x:c>
      <x:c r="F9" s="245" t="str">
        <x:v>COMPLETE_WITH_EXTERNAL_CHECK</x:v>
      </x:c>
      <x:c r="G9" s="246" t="str">
        <x:v>ATT-TH-EV-012</x:v>
      </x:c>
      <x:c r="H9" s="37"/>
    </x:row>
    <x:row r="10">
      <x:c r="A10" s="244" t="str">
        <x:v>ATT-TH-OP-SILL-BRACKET</x:v>
      </x:c>
      <x:c r="B10" s="245" t="str">
        <x:v>下枠補強金具</x:v>
      </x:c>
      <x:c r="C10" s="245" t="str">
        <x:v>施工部材</x:v>
      </x:c>
      <x:c r="D10" s="245" t="str">
        <x:v>CONDITIONAL_REQUIRED</x:v>
      </x:c>
      <x:c r="E10" s="245" t="str">
        <x:v>34～53mm。装飾窓W&lt;=800は確認不要</x:v>
      </x:c>
      <x:c r="F10" s="245" t="str">
        <x:v>COMPLETE</x:v>
      </x:c>
      <x:c r="G10" s="246" t="str">
        <x:v>ATT-TH-EV-010</x:v>
      </x:c>
      <x:c r="H10" s="37"/>
    </x:row>
    <x:row r="11">
      <x:c r="A11" s="244" t="str">
        <x:v>ATT-TH-OP-FRAME-SPACER-S</x:v>
      </x:c>
      <x:c r="B11" s="245" t="str">
        <x:v>枠施工スペーサー小</x:v>
      </x:c>
      <x:c r="C11" s="245" t="str">
        <x:v>施工部材</x:v>
      </x:c>
      <x:c r="D11" s="245" t="str">
        <x:v>CONDITIONAL_REQUIRED</x:v>
      </x:c>
      <x:c r="E11" s="245" t="str">
        <x:v>新設サッシ取付調整</x:v>
      </x:c>
      <x:c r="F11" s="245" t="str">
        <x:v>COMPLETE</x:v>
      </x:c>
      <x:c r="G11" s="246" t="str">
        <x:v>ATT-TH-EV-013</x:v>
      </x:c>
      <x:c r="H11" s="37"/>
    </x:row>
    <x:row r="12">
      <x:c r="A12" s="244" t="str">
        <x:v>ATT-TH-OP-ADJ-SPACER</x:v>
      </x:c>
      <x:c r="B12" s="245" t="str">
        <x:v>汎用施工調整スペーサー</x:v>
      </x:c>
      <x:c r="C12" s="245" t="str">
        <x:v>施工部材</x:v>
      </x:c>
      <x:c r="D12" s="245" t="str">
        <x:v>CONDITIONAL_REQUIRED</x:v>
      </x:c>
      <x:c r="E12" s="245" t="str">
        <x:v>下枠/枠調整</x:v>
      </x:c>
      <x:c r="F12" s="245" t="str">
        <x:v>COMPLETE</x:v>
      </x:c>
      <x:c r="G12" s="246" t="str">
        <x:v>ATT-TH-EV-010,013</x:v>
      </x:c>
      <x:c r="H12" s="37"/>
    </x:row>
    <x:row r="13">
      <x:c r="A13" s="244" t="str">
        <x:v>ATT-TH-OP-FILLER</x:v>
      </x:c>
      <x:c r="B13" s="245" t="str">
        <x:v>充てん材</x:v>
      </x:c>
      <x:c r="C13" s="245" t="str">
        <x:v>室内部材</x:v>
      </x:c>
      <x:c r="D13" s="245" t="str">
        <x:v>USER_SELECT</x:v>
      </x:c>
      <x:c r="E13" s="245" t="str">
        <x:v>樹脂アングルカバー室内仕上げ</x:v>
      </x:c>
      <x:c r="F13" s="245" t="str">
        <x:v>COMPLETE</x:v>
      </x:c>
      <x:c r="G13" s="246" t="str">
        <x:v>ATT-TH-EV-013</x:v>
      </x:c>
      <x:c r="H13" s="37"/>
    </x:row>
    <x:row r="14">
      <x:c r="A14" s="244" t="str">
        <x:v>ATT-TH-OP-CASING</x:v>
      </x:c>
      <x:c r="B14" s="245" t="str">
        <x:v>カバー用ケーシング</x:v>
      </x:c>
      <x:c r="C14" s="245" t="str">
        <x:v>室内部材</x:v>
      </x:c>
      <x:c r="D14" s="245" t="str">
        <x:v>USER_SELECT</x:v>
      </x:c>
      <x:c r="E14" s="245" t="str">
        <x:v>共通有償品対応</x:v>
      </x:c>
      <x:c r="F14" s="245" t="str">
        <x:v>COMPLETE</x:v>
      </x:c>
      <x:c r="G14" s="246" t="str">
        <x:v>ATT-TH-EV-013</x:v>
      </x:c>
      <x:c r="H14" s="40"/>
    </x:row>
    <x:row r="15">
      <x:c r="A15" s="244" t="str">
        <x:v>ATT-TH-OP-NATIVE-S2H</x:v>
      </x:c>
      <x:c r="B15" s="245" t="str">
        <x:v>サーモスⅡ-H本体OP</x:v>
      </x:c>
      <x:c r="C15" s="245" t="str">
        <x:v>REFERENCE</x:v>
      </x:c>
      <x:c r="D15" s="245" t="str">
        <x:v>REFERENCE_ONLY</x:v>
      </x:c>
      <x:c r="E15" s="245" t="str">
        <x:v>S2H正本へ委譲</x:v>
      </x:c>
      <x:c r="F15" s="245" t="str">
        <x:v>COMPLETE</x:v>
      </x:c>
      <x:c r="G15" s="246" t="str">
        <x:v>ATT-TH-EV-003</x:v>
      </x:c>
    </x:row>
    <x:row r="16">
      <x:c r="A16" s="244" t="str">
        <x:v>ATT-TH-OP-NATIVE-SL</x:v>
      </x:c>
      <x:c r="B16" s="245" t="str">
        <x:v>サーモスL本体OP</x:v>
      </x:c>
      <x:c r="C16" s="245" t="str">
        <x:v>REFERENCE</x:v>
      </x:c>
      <x:c r="D16" s="245" t="str">
        <x:v>REFERENCE_ONLY</x:v>
      </x:c>
      <x:c r="E16" s="245" t="str">
        <x:v>SL正本へ委譲</x:v>
      </x:c>
      <x:c r="F16" s="245" t="str">
        <x:v>COMPLETE</x:v>
      </x:c>
      <x:c r="G16" s="246" t="str">
        <x:v>ATT-TH-EV-005</x:v>
      </x:c>
    </x:row>
    <x:row r="17">
      <x:c r="A17" s="247" t="str">
        <x:v>ATT-TH-OP-NATIVE-SA</x:v>
      </x:c>
      <x:c r="B17" s="248" t="str">
        <x:v>サーモスA本体OP</x:v>
      </x:c>
      <x:c r="C17" s="248" t="str">
        <x:v>REFERENCE</x:v>
      </x:c>
      <x:c r="D17" s="248" t="str">
        <x:v>REFERENCE_ONLY</x:v>
      </x:c>
      <x:c r="E17" s="248" t="str">
        <x:v>11_OPTION_MASTER + 15_DEPENDENCY_RULEへ委譲</x:v>
      </x:c>
      <x:c r="F17" s="248" t="str">
        <x:v>COMPLETE</x:v>
      </x:c>
      <x:c r="G17" s="249" t="str">
        <x:v>ATT-TH-EV-016,017</x:v>
      </x:c>
    </x:row>
  </x:sheetData>
  <x:mergeCells>
    <x:mergeCell ref="A1:H1"/>
    <x:mergeCell ref="A1:F1"/>
    <x:mergeCell ref="A1:G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72" hidden="0" customWidth="1"/>
    <x:col min="5" max="5" width="78" hidden="0" customWidth="1"/>
    <x:col min="6" max="6" width="30" hidden="0" customWidth="1"/>
    <x:col min="7" max="7" width="24" hidden="0" customWidth="1"/>
    <x:col min="8" max="8" width="18" hidden="0" customWidth="1"/>
  </x:cols>
  <x:sheetData>
    <x:row r="1" ht="28" customHeight="1">
      <x:c r="A1" s="236" t="str">
        <x:v>09A_OP依存関係｜ATT-TH</x:v>
      </x:c>
      <x:c r="B1" s="236"/>
      <x:c r="C1" s="236"/>
      <x:c r="D1" s="236"/>
      <x:c r="E1" s="236"/>
      <x:c r="F1" s="236"/>
      <x:c r="G1" s="236"/>
      <x:c r="H1" s="127"/>
    </x:row>
    <x:row r="3" ht="30" customHeight="1">
      <x:c r="A3" s="241" t="str">
        <x:v>dependency_id</x:v>
      </x:c>
      <x:c r="B3" s="242" t="str">
        <x:v>option_id</x:v>
      </x:c>
      <x:c r="C3" s="242" t="str">
        <x:v>relation</x:v>
      </x:c>
      <x:c r="D3" s="242" t="str">
        <x:v>condition/value</x:v>
      </x:c>
      <x:c r="E3" s="242" t="str">
        <x:v>action_note</x:v>
      </x:c>
      <x:c r="F3" s="242" t="str">
        <x:v>status</x:v>
      </x:c>
      <x:c r="G3" s="243" t="str">
        <x:v>evidence</x:v>
      </x:c>
      <x:c r="H3" s="143"/>
    </x:row>
    <x:row r="4">
      <x:c r="A4" s="244" t="str">
        <x:v>ATT-TH-OD-001</x:v>
      </x:c>
      <x:c r="B4" s="245" t="str">
        <x:v>ATT-TH-OP-CONNECT-SCREW</x:v>
      </x:c>
      <x:c r="C4" s="245" t="str">
        <x:v>ALWAYS_REQUIRED</x:v>
      </x:c>
      <x:c r="D4" s="245" t="str">
        <x:v>installation_system=RPL_ATT_TH</x:v>
      </x:c>
      <x:c r="E4" s="245" t="str">
        <x:v>自動追加</x:v>
      </x:c>
      <x:c r="F4" s="245" t="str">
        <x:v>COMPLETE</x:v>
      </x:c>
      <x:c r="G4" s="246" t="str">
        <x:v>ATT-TH-EV-004,013</x:v>
      </x:c>
      <x:c r="H4" s="146"/>
    </x:row>
    <x:row r="5">
      <x:c r="A5" s="244" t="str">
        <x:v>ATT-TH-OD-002</x:v>
      </x:c>
      <x:c r="B5" s="245" t="str">
        <x:v>ATT-TH-OP-AIRTIGHT</x:v>
      </x:c>
      <x:c r="C5" s="245" t="str">
        <x:v>ALWAYS_REQUIRED</x:v>
      </x:c>
      <x:c r="D5" s="245" t="str">
        <x:v>installation_system=RPL_ATT_TH</x:v>
      </x:c>
      <x:c r="E5" s="245" t="str">
        <x:v>自動追加</x:v>
      </x:c>
      <x:c r="F5" s="245" t="str">
        <x:v>COMPLETE</x:v>
      </x:c>
      <x:c r="G5" s="246" t="str">
        <x:v>ATT-TH-EV-013</x:v>
      </x:c>
      <x:c r="H5" s="146"/>
    </x:row>
    <x:row r="6">
      <x:c r="A6" s="244" t="str">
        <x:v>ATT-TH-OD-003</x:v>
      </x:c>
      <x:c r="B6" s="245" t="str">
        <x:v>ATT-TH-OP-MULLION</x:v>
      </x:c>
      <x:c r="C6" s="245" t="str">
        <x:v>REQUIRED_IF</x:v>
      </x:c>
      <x:c r="D6" s="245" t="str">
        <x:v>opening_configuration=COUPLED</x:v>
      </x:c>
      <x:c r="E6" s="245" t="str">
        <x:v>サーモス純正方立を非表示、リプラス専用品追加</x:v>
      </x:c>
      <x:c r="F6" s="245" t="str">
        <x:v>COMPLETE_WITH_EXTERNAL_CHECK</x:v>
      </x:c>
      <x:c r="G6" s="246" t="str">
        <x:v>ATT-TH-EV-004,012</x:v>
      </x:c>
      <x:c r="H6" s="146"/>
    </x:row>
    <x:row r="7">
      <x:c r="A7" s="244" t="str">
        <x:v>ATT-TH-OD-004</x:v>
      </x:c>
      <x:c r="B7" s="245" t="str">
        <x:v>ATT-TH-OP-TRANSOM</x:v>
      </x:c>
      <x:c r="C7" s="245" t="str">
        <x:v>REQUIRED_IF</x:v>
      </x:c>
      <x:c r="D7" s="245" t="str">
        <x:v>opening_configuration=STACKED</x:v>
      </x:c>
      <x:c r="E7" s="245" t="str">
        <x:v>サーモス純正無目を非表示、リプラス専用品追加</x:v>
      </x:c>
      <x:c r="F7" s="245" t="str">
        <x:v>COMPLETE_WITH_EXTERNAL_CHECK</x:v>
      </x:c>
      <x:c r="G7" s="246" t="str">
        <x:v>ATT-TH-EV-004,012</x:v>
      </x:c>
      <x:c r="H7" s="146"/>
    </x:row>
    <x:row r="8">
      <x:c r="A8" s="244" t="str">
        <x:v>ATT-TH-OD-005</x:v>
      </x:c>
      <x:c r="B8" s="245" t="str">
        <x:v>ATT-TH-OP-SILL-BRACKET</x:v>
      </x:c>
      <x:c r="C8" s="245" t="str">
        <x:v>NOT_REQUIRED_IF</x:v>
      </x:c>
      <x:c r="D8" s="245" t="str">
        <x:v>new_sash_category=decorative AND referenced_product_w&lt;=800</x:v>
      </x:c>
      <x:c r="E8" s="245" t="str">
        <x:v>補強金具確認をスキップ</x:v>
      </x:c>
      <x:c r="F8" s="245" t="str">
        <x:v>COMPLETE</x:v>
      </x:c>
      <x:c r="G8" s="246" t="str">
        <x:v>ATT-TH-EV-010</x:v>
      </x:c>
      <x:c r="H8" s="146"/>
    </x:row>
    <x:row r="9">
      <x:c r="A9" s="244" t="str">
        <x:v>ATT-TH-OD-006</x:v>
      </x:c>
      <x:c r="B9" s="245" t="str">
        <x:v>ATT-TH-OP-ADJ-SPACER</x:v>
      </x:c>
      <x:c r="C9" s="245" t="str">
        <x:v>REQUIRED_IF</x:v>
      </x:c>
      <x:c r="D9" s="245" t="str">
        <x:v>lower_frame_rise&lt;34 OR lower_frame_rise&gt;53</x:v>
      </x:c>
      <x:c r="E9" s="245" t="str">
        <x:v>公式差分スペーサー対応。発注寸法補正を伴う</x:v>
      </x:c>
      <x:c r="F9" s="245" t="str">
        <x:v>COMPLETE_WITH_EXTERNAL_CHECK</x:v>
      </x:c>
      <x:c r="G9" s="246" t="str">
        <x:v>ATT-TH-EV-010</x:v>
      </x:c>
      <x:c r="H9" s="146"/>
    </x:row>
    <x:row r="10">
      <x:c r="A10" s="244" t="str">
        <x:v>ATT-TH-OD-007</x:v>
      </x:c>
      <x:c r="B10" s="245" t="str">
        <x:v>ATT-TH-OP-NATIVE-S2H</x:v>
      </x:c>
      <x:c r="C10" s="245" t="str">
        <x:v>REFERENCE</x:v>
      </x:c>
      <x:c r="D10" s="245" t="str">
        <x:v>referenced_series_id=SER-LIX-SAMOS2H</x:v>
      </x:c>
      <x:c r="E10" s="245" t="str">
        <x:v>S2H正本OP依存を適用</x:v>
      </x:c>
      <x:c r="F10" s="245" t="str">
        <x:v>COMPLETE</x:v>
      </x:c>
      <x:c r="G10" s="246" t="str">
        <x:v>ATT-TH-EV-003</x:v>
      </x:c>
      <x:c r="H10" s="146"/>
    </x:row>
    <x:row r="11">
      <x:c r="A11" s="244" t="str">
        <x:v>ATT-TH-OD-008</x:v>
      </x:c>
      <x:c r="B11" s="245" t="str">
        <x:v>ATT-TH-OP-NATIVE-SL</x:v>
      </x:c>
      <x:c r="C11" s="245" t="str">
        <x:v>REFERENCE</x:v>
      </x:c>
      <x:c r="D11" s="245" t="str">
        <x:v>referenced_series_id=SER-LIX-SAMOSL</x:v>
      </x:c>
      <x:c r="E11" s="245" t="str">
        <x:v>SL正本OP依存を適用</x:v>
      </x:c>
      <x:c r="F11" s="245" t="str">
        <x:v>COMPLETE</x:v>
      </x:c>
      <x:c r="G11" s="246" t="str">
        <x:v>ATT-TH-EV-005</x:v>
      </x:c>
      <x:c r="H11" s="146"/>
    </x:row>
    <x:row r="12">
      <x:c r="A12" s="247" t="str">
        <x:v>ATT-TH-OD-009</x:v>
      </x:c>
      <x:c r="B12" s="248" t="str">
        <x:v>ATT-TH-OP-NATIVE-SA</x:v>
      </x:c>
      <x:c r="C12" s="248" t="str">
        <x:v>REFERENCE</x:v>
      </x:c>
      <x:c r="D12" s="248" t="str">
        <x:v>referenced_series_id=SER-LIX-SAMOSA</x:v>
      </x:c>
      <x:c r="E12" s="248" t="str">
        <x:v>SAMOSA正本の15_DEPENDENCY_RULEを適用</x:v>
      </x:c>
      <x:c r="F12" s="248" t="str">
        <x:v>COMPLETE</x:v>
      </x:c>
      <x:c r="G12" s="249" t="str">
        <x:v>ATT-TH-EV-016,017</x:v>
      </x:c>
      <x:c r="H12" s="146"/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7"/>
      <x:c r="B15" s="148"/>
      <x:c r="C15" s="148"/>
      <x:c r="D15" s="148"/>
      <x:c r="E15" s="148"/>
      <x:c r="F15" s="148"/>
      <x:c r="G15" s="148"/>
      <x:c r="H15" s="149"/>
    </x:row>
  </x:sheetData>
  <x:mergeCells>
    <x:mergeCell ref="A1:H1"/>
    <x:mergeCell ref="A1:G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30" hidden="0" customWidth="1"/>
    <x:col min="5" max="5" width="68" hidden="0" customWidth="1"/>
    <x:col min="6" max="6" width="48" hidden="0" customWidth="1"/>
    <x:col min="7" max="7" width="30" hidden="0" customWidth="1"/>
    <x:col min="8" max="8" width="24" hidden="0" customWidth="1"/>
  </x:cols>
  <x:sheetData>
    <x:row r="1" ht="28" customHeight="1">
      <x:c r="A1" s="236" t="str">
        <x:v>10_適用条件｜ATT-TH</x:v>
      </x:c>
      <x:c r="B1" s="236"/>
      <x:c r="C1" s="236"/>
      <x:c r="D1" s="236"/>
      <x:c r="E1" s="236"/>
      <x:c r="F1" s="236"/>
      <x:c r="G1" s="236"/>
      <x:c r="H1" s="236"/>
    </x:row>
    <x:row r="3" ht="30" customHeight="1">
      <x:c r="A3" s="241" t="str">
        <x:v>rule_id</x:v>
      </x:c>
      <x:c r="B3" s="242" t="str">
        <x:v>condition_type</x:v>
      </x:c>
      <x:c r="C3" s="242" t="str">
        <x:v>value</x:v>
      </x:c>
      <x:c r="D3" s="242" t="str">
        <x:v>result</x:v>
      </x:c>
      <x:c r="E3" s="242" t="str">
        <x:v>condition_note</x:v>
      </x:c>
      <x:c r="F3" s="242" t="str">
        <x:v>action</x:v>
      </x:c>
      <x:c r="G3" s="242" t="str">
        <x:v>status</x:v>
      </x:c>
      <x:c r="H3" s="243" t="str">
        <x:v>evidence</x:v>
      </x:c>
    </x:row>
    <x:row r="4">
      <x:c r="A4" s="244" t="str">
        <x:v>ATT-TH-AP-SHARED</x:v>
      </x:c>
      <x:c r="B4" s="245" t="str">
        <x:v>shared_rule</x:v>
      </x:c>
      <x:c r="C4" s="245" t="str">
        <x:v>SHARED-ATT-EXISTING-STRUCTURE</x:v>
      </x:c>
      <x:c r="D4" s="245" t="str">
        <x:v>REFERENCE</x:v>
      </x:c>
      <x:c r="E4" s="245" t="str">
        <x:v>ATT-TW/TH共通現調ページで同一条件</x:v>
      </x:c>
      <x:c r="F4" s="245" t="str">
        <x:v>ATT-TW共通適用ルールを参照</x:v>
      </x:c>
      <x:c r="G4" s="245" t="str">
        <x:v>COMPLETE</x:v>
      </x:c>
      <x:c r="H4" s="246" t="str">
        <x:v>ATT-TH-EV-008</x:v>
      </x:c>
    </x:row>
    <x:row r="5">
      <x:c r="A5" s="244" t="str">
        <x:v>ATT-TH-AP-MAT-RESIN</x:v>
      </x:c>
      <x:c r="B5" s="245" t="str">
        <x:v>existing_sash_material</x:v>
      </x:c>
      <x:c r="C5" s="245" t="str">
        <x:v>樹脂</x:v>
      </x:c>
      <x:c r="D5" s="245" t="str">
        <x:v>UNAVAILABLE</x:v>
      </x:c>
      <x:c r="E5" s="245" t="str">
        <x:v>公式p36</x:v>
      </x:c>
      <x:c r="F5" s="245" t="str">
        <x:v>HIDE/REJECT</x:v>
      </x:c>
      <x:c r="G5" s="245" t="str">
        <x:v>COMPLETE</x:v>
      </x:c>
      <x:c r="H5" s="246" t="str">
        <x:v>ATT-TH-EV-002</x:v>
      </x:c>
    </x:row>
    <x:row r="6">
      <x:c r="A6" s="244" t="str">
        <x:v>ATT-TH-AP-MAT-WOOD</x:v>
      </x:c>
      <x:c r="B6" s="245" t="str">
        <x:v>existing_sash_material</x:v>
      </x:c>
      <x:c r="C6" s="245" t="str">
        <x:v>木製</x:v>
      </x:c>
      <x:c r="D6" s="245" t="str">
        <x:v>UNAVAILABLE</x:v>
      </x:c>
      <x:c r="E6" s="245" t="str">
        <x:v>公式p36</x:v>
      </x:c>
      <x:c r="F6" s="245" t="str">
        <x:v>HIDE/REJECT</x:v>
      </x:c>
      <x:c r="G6" s="245" t="str">
        <x:v>COMPLETE</x:v>
      </x:c>
      <x:c r="H6" s="246" t="str">
        <x:v>ATT-TH-EV-002</x:v>
      </x:c>
    </x:row>
    <x:row r="7">
      <x:c r="A7" s="244" t="str">
        <x:v>ATT-TH-AP-BATH</x:v>
      </x:c>
      <x:c r="B7" s="245" t="str">
        <x:v>room_use</x:v>
      </x:c>
      <x:c r="C7" s="245" t="str">
        <x:v>浴室</x:v>
      </x:c>
      <x:c r="D7" s="245" t="str">
        <x:v>UNAVAILABLE</x:v>
      </x:c>
      <x:c r="E7" s="245" t="str">
        <x:v>公式p36</x:v>
      </x:c>
      <x:c r="F7" s="245" t="str">
        <x:v>HIDE/REJECT</x:v>
      </x:c>
      <x:c r="G7" s="245" t="str">
        <x:v>COMPLETE</x:v>
      </x:c>
      <x:c r="H7" s="246" t="str">
        <x:v>ATT-TH-EV-002</x:v>
      </x:c>
    </x:row>
    <x:row r="8">
      <x:c r="A8" s="244" t="str">
        <x:v>ATT-TH-AP-FIRE</x:v>
      </x:c>
      <x:c r="B8" s="245" t="str">
        <x:v>fire_required</x:v>
      </x:c>
      <x:c r="C8" s="245" t="str">
        <x:v>防火設備必要</x:v>
      </x:c>
      <x:c r="D8" s="245" t="str">
        <x:v>UNAVAILABLE</x:v>
      </x:c>
      <x:c r="E8" s="245" t="str">
        <x:v>通常サーモスのみ。防火戸は別商品体系</x:v>
      </x:c>
      <x:c r="F8" s="245" t="str">
        <x:v>別商品へ</x:v>
      </x:c>
      <x:c r="G8" s="245" t="str">
        <x:v>COMPLETE</x:v>
      </x:c>
      <x:c r="H8" s="246" t="str">
        <x:v>ATT-TH-EV-001</x:v>
      </x:c>
    </x:row>
    <x:row r="9">
      <x:c r="A9" s="244" t="str">
        <x:v>ATT-TH-AP-DEPTH</x:v>
      </x:c>
      <x:c r="B9" s="245" t="str">
        <x:v>existing_frame_depth</x:v>
      </x:c>
      <x:c r="C9" s="245" t="str">
        <x:v>&lt;=90mm</x:v>
      </x:c>
      <x:c r="D9" s="245" t="str">
        <x:v>AVAILABLE</x:v>
      </x:c>
      <x:c r="E9" s="245" t="str">
        <x:v>ATT-TH専用取付基準</x:v>
      </x:c>
      <x:c r="F9" s="245" t="str">
        <x:v>通常候補</x:v>
      </x:c>
      <x:c r="G9" s="245" t="str">
        <x:v>COMPLETE</x:v>
      </x:c>
      <x:c r="H9" s="246" t="str">
        <x:v>ATT-TH-EV-009</x:v>
      </x:c>
    </x:row>
    <x:row r="10">
      <x:c r="A10" s="244" t="str">
        <x:v>ATT-TH-AP-DEPTH-OVER</x:v>
      </x:c>
      <x:c r="B10" s="245" t="str">
        <x:v>existing_frame_depth</x:v>
      </x:c>
      <x:c r="C10" s="245" t="str">
        <x:v>&gt;90mm</x:v>
      </x:c>
      <x:c r="D10" s="245" t="str">
        <x:v>UNAVAILABLE</x:v>
      </x:c>
      <x:c r="E10" s="245" t="str">
        <x:v>ATT-TH取付基準外</x:v>
      </x:c>
      <x:c r="F10" s="245" t="str">
        <x:v>HIDE/REJECT</x:v>
      </x:c>
      <x:c r="G10" s="245" t="str">
        <x:v>COMPLETE</x:v>
      </x:c>
      <x:c r="H10" s="246" t="str">
        <x:v>ATT-TH-EV-009</x:v>
      </x:c>
    </x:row>
    <x:row r="11">
      <x:c r="A11" s="244" t="str">
        <x:v>ATT-TH-AP-SILL</x:v>
      </x:c>
      <x:c r="B11" s="245" t="str">
        <x:v>lower_frame_rise</x:v>
      </x:c>
      <x:c r="C11" s="245" t="str">
        <x:v>34～53mm</x:v>
      </x:c>
      <x:c r="D11" s="245" t="str">
        <x:v>AVAILABLE</x:v>
      </x:c>
      <x:c r="E11" s="245" t="str">
        <x:v>補強金具標準範囲</x:v>
      </x:c>
      <x:c r="F11" s="245" t="str">
        <x:v>通常候補</x:v>
      </x:c>
      <x:c r="G11" s="245" t="str">
        <x:v>COMPLETE</x:v>
      </x:c>
      <x:c r="H11" s="246" t="str">
        <x:v>ATT-TH-EV-010</x:v>
      </x:c>
    </x:row>
    <x:row r="12">
      <x:c r="A12" s="247" t="str">
        <x:v>ATT-TH-AP-SA</x:v>
      </x:c>
      <x:c r="B12" s="248" t="str">
        <x:v>referenced_series</x:v>
      </x:c>
      <x:c r="C12" s="248" t="str">
        <x:v>SER-LIX-SAMOSA</x:v>
      </x:c>
      <x:c r="D12" s="248" t="str">
        <x:v>AVAILABLE</x:v>
      </x:c>
      <x:c r="E12" s="248" t="str">
        <x:v>正本v0.7 APP_READY / QA_PASS、ATT-TH公式対応subsetへ接続</x:v>
      </x:c>
      <x:c r="F12" s="248" t="str">
        <x:v>通常候補を表示</x:v>
      </x:c>
      <x:c r="G12" s="248" t="str">
        <x:v>COMPLETE</x:v>
      </x:c>
      <x:c r="H12" s="249" t="str">
        <x:v>ATT-TH-EV-004,016,017</x:v>
      </x:c>
    </x:row>
    <x:row r="13">
      <x:c r="A13" s="184"/>
      <x:c r="B13" s="185"/>
      <x:c r="C13" s="185"/>
      <x:c r="D13" s="185"/>
      <x:c r="E13" s="185"/>
      <x:c r="F13" s="185"/>
      <x:c r="G13" s="186"/>
    </x:row>
    <x:row r="14">
      <x:c r="A14" s="184"/>
      <x:c r="B14" s="185"/>
      <x:c r="C14" s="185"/>
      <x:c r="D14" s="185"/>
      <x:c r="E14" s="185"/>
      <x:c r="F14" s="185"/>
      <x:c r="G14" s="186"/>
    </x:row>
    <x:row r="15">
      <x:c r="A15" s="187"/>
      <x:c r="B15" s="188"/>
      <x:c r="C15" s="188"/>
      <x:c r="D15" s="188"/>
      <x:c r="E15" s="188"/>
      <x:c r="F15" s="188"/>
      <x:c r="G15" s="189"/>
    </x:row>
  </x:sheetData>
  <x:mergeCells>
    <x:mergeCell ref="A1:G1"/>
    <x:mergeCell ref="A1:H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0" hidden="0" customWidth="1"/>
    <x:col min="4" max="4" width="48" hidden="0" customWidth="1"/>
    <x:col min="5" max="5" width="78" hidden="0" customWidth="1"/>
    <x:col min="6" max="6" width="18" hidden="0" customWidth="1"/>
    <x:col min="7" max="7" width="24" hidden="0" customWidth="1"/>
    <x:col min="8" max="8" width="16" hidden="0" customWidth="1"/>
  </x:cols>
  <x:sheetData>
    <x:row r="1" ht="28" customHeight="1">
      <x:c r="A1" s="236" t="str">
        <x:v>10A_既設窓互換｜ATT-TH</x:v>
      </x:c>
      <x:c r="B1" s="236"/>
      <x:c r="C1" s="236"/>
      <x:c r="D1" s="236"/>
      <x:c r="E1" s="236"/>
      <x:c r="F1" s="236"/>
      <x:c r="G1" s="236"/>
      <x:c r="H1" s="4"/>
    </x:row>
    <x:row r="2" ht="42" customHeight="1">
      <x:c r="A2" s="237" t="str">
        <x:v>完全一致する既設窓基本ルールはATT-TW側をshared_rule参照し、ATT-TH固有差分は枠見込み/下枠等で上書き。</x:v>
      </x:c>
      <x:c r="B2" s="237"/>
      <x:c r="C2" s="237"/>
      <x:c r="D2" s="237"/>
      <x:c r="E2" s="237"/>
      <x:c r="F2" s="237"/>
      <x:c r="G2" s="237"/>
      <x:c r="H2" s="11"/>
    </x:row>
    <x:row r="3">
      <x:c r="A3" s="181"/>
      <x:c r="B3" s="182"/>
      <x:c r="C3" s="182"/>
      <x:c r="D3" s="182"/>
      <x:c r="E3" s="182"/>
      <x:c r="F3" s="183"/>
    </x:row>
    <x:row r="4" ht="30" customHeight="1">
      <x:c r="A4" s="270" t="str">
        <x:v>rule_id</x:v>
      </x:c>
      <x:c r="B4" s="271" t="str">
        <x:v>existing_window_type</x:v>
      </x:c>
      <x:c r="C4" s="271" t="str">
        <x:v>result</x:v>
      </x:c>
      <x:c r="D4" s="271" t="str">
        <x:v>rule_source</x:v>
      </x:c>
      <x:c r="E4" s="271" t="str">
        <x:v>ATT-TH note</x:v>
      </x:c>
      <x:c r="F4" s="271" t="str">
        <x:v>status</x:v>
      </x:c>
      <x:c r="G4" s="243" t="str">
        <x:v>evidence</x:v>
      </x:c>
      <x:c r="H4" s="34"/>
    </x:row>
    <x:row r="5">
      <x:c r="A5" s="244" t="str">
        <x:v>ATT-TH-EX-SHARED</x:v>
      </x:c>
      <x:c r="B5" s="245" t="str">
        <x:v>ATT-TW/TH共通既設窓対応表</x:v>
      </x:c>
      <x:c r="C5" s="245" t="str">
        <x:v>REFERENCE</x:v>
      </x:c>
      <x:c r="D5" s="245" t="str">
        <x:v>ATT-TW master 10A + 公式共通現調ページ</x:v>
      </x:c>
      <x:c r="E5" s="245" t="str">
        <x:v>別体連段不可、二重/面格子条件付等を共有参照</x:v>
      </x:c>
      <x:c r="F5" s="245" t="str">
        <x:v>COMPLETE</x:v>
      </x:c>
      <x:c r="G5" s="246" t="str">
        <x:v>ATT-TH-EV-008</x:v>
      </x:c>
      <x:c r="H5" s="37"/>
    </x:row>
    <x:row r="6">
      <x:c r="A6" s="244" t="str">
        <x:v>ATT-TH-EX-RAIN</x:v>
      </x:c>
      <x:c r="B6" s="245" t="str">
        <x:v>雨戸付サッシ</x:v>
      </x:c>
      <x:c r="C6" s="245" t="str">
        <x:v>UNAVAILABLE</x:v>
      </x:c>
      <x:c r="D6" s="245" t="str">
        <x:v>公式共通注記</x:v>
      </x:c>
      <x:c r="E6" s="245" t="str">
        <x:v>ATT-TW/ATT-THとも取付不可</x:v>
      </x:c>
      <x:c r="F6" s="245" t="str">
        <x:v>COMPLETE</x:v>
      </x:c>
      <x:c r="G6" s="246" t="str">
        <x:v>ATT-TH-EV-008</x:v>
      </x:c>
      <x:c r="H6" s="37"/>
    </x:row>
    <x:row r="7">
      <x:c r="A7" s="244" t="str">
        <x:v>ATT-TH-EX-SHUTTER</x:v>
      </x:c>
      <x:c r="B7" s="245" t="str">
        <x:v>シャッター付サッシ</x:v>
      </x:c>
      <x:c r="C7" s="245" t="str">
        <x:v>UNAVAILABLE</x:v>
      </x:c>
      <x:c r="D7" s="245" t="str">
        <x:v>公式共通注記</x:v>
      </x:c>
      <x:c r="E7" s="245" t="str">
        <x:v>ATT-TW/ATT-THとも取付不可</x:v>
      </x:c>
      <x:c r="F7" s="245" t="str">
        <x:v>COMPLETE</x:v>
      </x:c>
      <x:c r="G7" s="246" t="str">
        <x:v>ATT-TH-EV-008</x:v>
      </x:c>
      <x:c r="H7" s="37"/>
    </x:row>
    <x:row r="8">
      <x:c r="A8" s="244" t="str">
        <x:v>ATT-TH-EX-DOUBLE</x:v>
      </x:c>
      <x:c r="B8" s="245" t="str">
        <x:v>二重サッシ</x:v>
      </x:c>
      <x:c r="C8" s="245" t="str">
        <x:v>CONDITIONAL</x:v>
      </x:c>
      <x:c r="D8" s="245" t="str">
        <x:v>公式採寸ページ</x:v>
      </x:c>
      <x:c r="E8" s="245" t="str">
        <x:v>既設外枠内々採寸、内枠は施工時除去</x:v>
      </x:c>
      <x:c r="F8" s="245" t="str">
        <x:v>COMPLETE</x:v>
      </x:c>
      <x:c r="G8" s="246" t="str">
        <x:v>ATT-TH-EV-008</x:v>
      </x:c>
      <x:c r="H8" s="37"/>
    </x:row>
    <x:row r="9">
      <x:c r="A9" s="247" t="str">
        <x:v>ATT-TH-EX-IRREG</x:v>
      </x:c>
      <x:c r="B9" s="248" t="str">
        <x:v>丸・台形等異形</x:v>
      </x:c>
      <x:c r="C9" s="248" t="str">
        <x:v>UNAVAILABLE</x:v>
      </x:c>
      <x:c r="D9" s="248" t="str">
        <x:v>公式対応表</x:v>
      </x:c>
      <x:c r="E9" s="248" t="str">
        <x:v>取替不可</x:v>
      </x:c>
      <x:c r="F9" s="248" t="str">
        <x:v>COMPLETE</x:v>
      </x:c>
      <x:c r="G9" s="249" t="str">
        <x:v>ATT-TH-EV-008</x:v>
      </x:c>
      <x:c r="H9" s="37"/>
    </x:row>
    <x:row r="10">
      <x:c r="A10" s="184"/>
      <x:c r="B10" s="185"/>
      <x:c r="C10" s="185"/>
      <x:c r="D10" s="185"/>
      <x:c r="E10" s="185"/>
      <x:c r="F10" s="186"/>
      <x:c r="G10" s="36"/>
      <x:c r="H10" s="37"/>
    </x:row>
    <x:row r="11">
      <x:c r="A11" s="184"/>
      <x:c r="B11" s="185"/>
      <x:c r="C11" s="185"/>
      <x:c r="D11" s="185"/>
      <x:c r="E11" s="185"/>
      <x:c r="F11" s="186"/>
      <x:c r="G11" s="36"/>
      <x:c r="H11" s="37"/>
    </x:row>
    <x:row r="12">
      <x:c r="A12" s="184"/>
      <x:c r="B12" s="185"/>
      <x:c r="C12" s="185"/>
      <x:c r="D12" s="185"/>
      <x:c r="E12" s="185"/>
      <x:c r="F12" s="186"/>
      <x:c r="G12" s="36"/>
      <x:c r="H12" s="37"/>
    </x:row>
    <x:row r="13">
      <x:c r="A13" s="184"/>
      <x:c r="B13" s="185"/>
      <x:c r="C13" s="185"/>
      <x:c r="D13" s="185"/>
      <x:c r="E13" s="185"/>
      <x:c r="F13" s="186"/>
      <x:c r="G13" s="36"/>
      <x:c r="H13" s="37"/>
    </x:row>
    <x:row r="14">
      <x:c r="A14" s="187"/>
      <x:c r="B14" s="188"/>
      <x:c r="C14" s="188"/>
      <x:c r="D14" s="188"/>
      <x:c r="E14" s="188"/>
      <x:c r="F14" s="189"/>
      <x:c r="G14" s="36"/>
      <x:c r="H14" s="37"/>
    </x:row>
    <x:row r="15">
      <x:c r="A15" s="38"/>
      <x:c r="B15" s="39"/>
      <x:c r="C15" s="39"/>
      <x:c r="D15" s="39"/>
      <x:c r="E15" s="39"/>
      <x:c r="F15" s="39"/>
      <x:c r="G15" s="39"/>
      <x:c r="H15" s="40"/>
    </x:row>
  </x:sheetData>
  <x:mergeCells>
    <x:mergeCell ref="A1:H1"/>
    <x:mergeCell ref="A2:H2"/>
    <x:mergeCell ref="A1:F1"/>
    <x:mergeCell ref="A1:G1"/>
    <x:mergeCell ref="A2:G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2" hidden="0" customWidth="1"/>
    <x:col min="4" max="4" width="10" hidden="0" customWidth="1"/>
    <x:col min="5" max="5" width="100" hidden="0" customWidth="1"/>
    <x:col min="6" max="6" width="22" hidden="0" customWidth="1"/>
    <x:col min="7" max="7" width="30" hidden="0" customWidth="1"/>
    <x:col min="8" max="8" width="24" hidden="0" customWidth="1"/>
    <x:col min="9" max="9" width="18" hidden="0" customWidth="1"/>
  </x:cols>
  <x:sheetData>
    <x:row r="1" ht="28" customHeight="1">
      <x:c r="A1" s="236" t="str">
        <x:v>10B_現調項目｜ATT-TH</x:v>
      </x:c>
      <x:c r="B1" s="236"/>
      <x:c r="C1" s="236"/>
      <x:c r="D1" s="236"/>
      <x:c r="E1" s="236"/>
      <x:c r="F1" s="236"/>
      <x:c r="G1" s="236"/>
      <x:c r="H1" s="236"/>
      <x:c r="I1" s="127"/>
    </x:row>
    <x:row r="3" ht="30" customHeight="1">
      <x:c r="A3" s="241" t="str">
        <x:v>survey_id</x:v>
      </x:c>
      <x:c r="B3" s="242" t="str">
        <x:v>項目名</x:v>
      </x:c>
      <x:c r="C3" s="242" t="str">
        <x:v>symbol</x:v>
      </x:c>
      <x:c r="D3" s="242" t="str">
        <x:v>unit</x:v>
      </x:c>
      <x:c r="E3" s="242" t="str">
        <x:v>判定/採寸ルール</x:v>
      </x:c>
      <x:c r="F3" s="242" t="str">
        <x:v>requirement</x:v>
      </x:c>
      <x:c r="G3" s="242" t="str">
        <x:v>status</x:v>
      </x:c>
      <x:c r="H3" s="243" t="str">
        <x:v>evidence</x:v>
      </x:c>
      <x:c r="I3" s="143"/>
    </x:row>
    <x:row r="4">
      <x:c r="A4" s="244" t="str">
        <x:v>ATT-TH-SV-W3</x:v>
      </x:c>
      <x:c r="B4" s="245" t="str">
        <x:v>採寸W 3点</x:v>
      </x:c>
      <x:c r="C4" s="245" t="str">
        <x:v>WS</x:v>
      </x:c>
      <x:c r="D4" s="245" t="str">
        <x:v>mm</x:v>
      </x:c>
      <x:c r="E4" s="245" t="str">
        <x:v>上・中・下3点の最小値</x:v>
      </x:c>
      <x:c r="F4" s="245" t="str">
        <x:v>REQUIRED</x:v>
      </x:c>
      <x:c r="G4" s="245" t="str">
        <x:v>COMPLETE</x:v>
      </x:c>
      <x:c r="H4" s="246" t="str">
        <x:v>ATT-TH-EV-008</x:v>
      </x:c>
      <x:c r="I4" s="146"/>
    </x:row>
    <x:row r="5">
      <x:c r="A5" s="244" t="str">
        <x:v>ATT-TH-SV-H3</x:v>
      </x:c>
      <x:c r="B5" s="245" t="str">
        <x:v>採寸H 3点</x:v>
      </x:c>
      <x:c r="C5" s="245" t="str">
        <x:v>HS</x:v>
      </x:c>
      <x:c r="D5" s="245" t="str">
        <x:v>mm</x:v>
      </x:c>
      <x:c r="E5" s="245" t="str">
        <x:v>左・中・右3点の最小値</x:v>
      </x:c>
      <x:c r="F5" s="245" t="str">
        <x:v>REQUIRED</x:v>
      </x:c>
      <x:c r="G5" s="245" t="str">
        <x:v>COMPLETE</x:v>
      </x:c>
      <x:c r="H5" s="246" t="str">
        <x:v>ATT-TH-EV-008</x:v>
      </x:c>
      <x:c r="I5" s="146"/>
    </x:row>
    <x:row r="6">
      <x:c r="A6" s="244" t="str">
        <x:v>ATT-TH-SV-DEPTH</x:v>
      </x:c>
      <x:c r="B6" s="245" t="str">
        <x:v>既設枠見込み</x:v>
      </x:c>
      <x:c r="C6" s="245" t="str">
        <x:v>—</x:v>
      </x:c>
      <x:c r="D6" s="245" t="str">
        <x:v>mm</x:v>
      </x:c>
      <x:c r="E6" s="245" t="str">
        <x:v>90mm以下</x:v>
      </x:c>
      <x:c r="F6" s="245" t="str">
        <x:v>REQUIRED</x:v>
      </x:c>
      <x:c r="G6" s="245" t="str">
        <x:v>COMPLETE</x:v>
      </x:c>
      <x:c r="H6" s="246" t="str">
        <x:v>ATT-TH-EV-009</x:v>
      </x:c>
      <x:c r="I6" s="146"/>
    </x:row>
    <x:row r="7">
      <x:c r="A7" s="244" t="str">
        <x:v>ATT-TH-SV-SILL</x:v>
      </x:c>
      <x:c r="B7" s="245" t="str">
        <x:v>下枠立上り</x:v>
      </x:c>
      <x:c r="C7" s="245" t="str">
        <x:v>—</x:v>
      </x:c>
      <x:c r="D7" s="245" t="str">
        <x:v>mm</x:v>
      </x:c>
      <x:c r="E7" s="245" t="str">
        <x:v>補強金具34～53mm</x:v>
      </x:c>
      <x:c r="F7" s="245" t="str">
        <x:v>CONDITIONAL</x:v>
      </x:c>
      <x:c r="G7" s="245" t="str">
        <x:v>COMPLETE</x:v>
      </x:c>
      <x:c r="H7" s="246" t="str">
        <x:v>ATT-TH-EV-010</x:v>
      </x:c>
      <x:c r="I7" s="146"/>
    </x:row>
    <x:row r="8">
      <x:c r="A8" s="244" t="str">
        <x:v>ATT-TH-SV-SILL-SKIP</x:v>
      </x:c>
      <x:c r="B8" s="245" t="str">
        <x:v>下枠補強確認</x:v>
      </x:c>
      <x:c r="C8" s="245" t="str">
        <x:v>—</x:v>
      </x:c>
      <x:c r="D8" s="245" t="str">
        <x:v>—</x:v>
      </x:c>
      <x:c r="E8" s="245" t="str">
        <x:v>新設サッシ=装飾窓 AND W&lt;=800mm → 補強金具なし/確認不要</x:v>
      </x:c>
      <x:c r="F8" s="245" t="str">
        <x:v>AUTO</x:v>
      </x:c>
      <x:c r="G8" s="245" t="str">
        <x:v>COMPLETE</x:v>
      </x:c>
      <x:c r="H8" s="246" t="str">
        <x:v>ATT-TH-EV-010</x:v>
      </x:c>
      <x:c r="I8" s="146"/>
    </x:row>
    <x:row r="9">
      <x:c r="A9" s="244" t="str">
        <x:v>ATT-TH-SV-HEAD-FACE</x:v>
      </x:c>
      <x:c r="B9" s="245" t="str">
        <x:v>上枠見付</x:v>
      </x:c>
      <x:c r="C9" s="245" t="str">
        <x:v>—</x:v>
      </x:c>
      <x:c r="D9" s="245" t="str">
        <x:v>mm</x:v>
      </x:c>
      <x:c r="E9" s="245" t="str">
        <x:v>10Cの大/中/小判定</x:v>
      </x:c>
      <x:c r="F9" s="245" t="str">
        <x:v>REQUIRED</x:v>
      </x:c>
      <x:c r="G9" s="245" t="str">
        <x:v>COMPLETE</x:v>
      </x:c>
      <x:c r="H9" s="246" t="str">
        <x:v>ATT-TH-EV-011</x:v>
      </x:c>
      <x:c r="I9" s="146"/>
    </x:row>
    <x:row r="10">
      <x:c r="A10" s="244" t="str">
        <x:v>ATT-TH-SV-SILL-FACE</x:v>
      </x:c>
      <x:c r="B10" s="245" t="str">
        <x:v>下枠見付</x:v>
      </x:c>
      <x:c r="C10" s="245" t="str">
        <x:v>—</x:v>
      </x:c>
      <x:c r="D10" s="245" t="str">
        <x:v>mm</x:v>
      </x:c>
      <x:c r="E10" s="245" t="str">
        <x:v>10Cの大/中/小判定</x:v>
      </x:c>
      <x:c r="F10" s="245" t="str">
        <x:v>REQUIRED</x:v>
      </x:c>
      <x:c r="G10" s="245" t="str">
        <x:v>COMPLETE</x:v>
      </x:c>
      <x:c r="H10" s="246" t="str">
        <x:v>ATT-TH-EV-011</x:v>
      </x:c>
      <x:c r="I10" s="146"/>
    </x:row>
    <x:row r="11">
      <x:c r="A11" s="244" t="str">
        <x:v>ATT-TH-SV-JAMB-FACE</x:v>
      </x:c>
      <x:c r="B11" s="245" t="str">
        <x:v>縦枠見付</x:v>
      </x:c>
      <x:c r="C11" s="245" t="str">
        <x:v>—</x:v>
      </x:c>
      <x:c r="D11" s="245" t="str">
        <x:v>mm</x:v>
      </x:c>
      <x:c r="E11" s="245" t="str">
        <x:v>10Cの大/中/小判定</x:v>
      </x:c>
      <x:c r="F11" s="245" t="str">
        <x:v>REQUIRED</x:v>
      </x:c>
      <x:c r="G11" s="245" t="str">
        <x:v>COMPLETE</x:v>
      </x:c>
      <x:c r="H11" s="246" t="str">
        <x:v>ATT-TH-EV-011</x:v>
      </x:c>
      <x:c r="I11" s="146"/>
    </x:row>
    <x:row r="12">
      <x:c r="A12" s="244" t="str">
        <x:v>ATT-TH-SV-DEFORM</x:v>
      </x:c>
      <x:c r="B12" s="245" t="str">
        <x:v>ねじれ/ゆがみ/たおれ</x:v>
      </x:c>
      <x:c r="C12" s="245" t="str">
        <x:v>—</x:v>
      </x:c>
      <x:c r="D12" s="245" t="str">
        <x:v>mm</x:v>
      </x:c>
      <x:c r="E12" s="245" t="str">
        <x:v>公式現調許容範囲を適用</x:v>
      </x:c>
      <x:c r="F12" s="245" t="str">
        <x:v>REQUIRED</x:v>
      </x:c>
      <x:c r="G12" s="245" t="str">
        <x:v>COMPLETE</x:v>
      </x:c>
      <x:c r="H12" s="246" t="str">
        <x:v>ATT-TH-EV-008</x:v>
      </x:c>
      <x:c r="I12" s="146"/>
    </x:row>
    <x:row r="13">
      <x:c r="A13" s="244" t="str">
        <x:v>ATT-TH-SV-WORK</x:v>
      </x:c>
      <x:c r="B13" s="245" t="str">
        <x:v>外部/室内作業スペース</x:v>
      </x:c>
      <x:c r="C13" s="245" t="str">
        <x:v>—</x:v>
      </x:c>
      <x:c r="D13" s="245" t="str">
        <x:v>—</x:v>
      </x:c>
      <x:c r="E13" s="245" t="str">
        <x:v>屋内組立枠を外へ振り出すため、既設枠外面からWH大きい方の寸法分のスペース確認</x:v>
      </x:c>
      <x:c r="F13" s="245" t="str">
        <x:v>REQUIRED</x:v>
      </x:c>
      <x:c r="G13" s="245" t="str">
        <x:v>COMPLETE</x:v>
      </x:c>
      <x:c r="H13" s="246" t="str">
        <x:v>ATT-TH-EV-015</x:v>
      </x:c>
      <x:c r="I13" s="146"/>
    </x:row>
    <x:row r="14">
      <x:c r="A14" s="244" t="str">
        <x:v>ATT-TH-SV-OUTSIDE</x:v>
      </x:c>
      <x:c r="B14" s="245" t="str">
        <x:v>屋外建込み条件</x:v>
      </x:c>
      <x:c r="C14" s="245" t="str">
        <x:v>—</x:v>
      </x:c>
      <x:c r="D14" s="245" t="str">
        <x:v>—</x:v>
      </x:c>
      <x:c r="E14" s="245" t="str">
        <x:v>新設サッシW/H寸法差が50mm以内の場合、屋外からのみ建込み可</x:v>
      </x:c>
      <x:c r="F14" s="245" t="str">
        <x:v>CONDITIONAL</x:v>
      </x:c>
      <x:c r="G14" s="245" t="str">
        <x:v>COMPLETE</x:v>
      </x:c>
      <x:c r="H14" s="246" t="str">
        <x:v>ATT-TH-EV-015</x:v>
      </x:c>
      <x:c r="I14" s="149"/>
    </x:row>
    <x:row r="15">
      <x:c r="A15" s="247" t="str">
        <x:v>ATT-TH-SV-BASE</x:v>
      </x:c>
      <x:c r="B15" s="248" t="str">
        <x:v>固定下地/腐食</x:v>
      </x:c>
      <x:c r="C15" s="248" t="str">
        <x:v>—</x:v>
      </x:c>
      <x:c r="D15" s="248" t="str">
        <x:v>—</x:v>
      </x:c>
      <x:c r="E15" s="248" t="str">
        <x:v>ねじ固定可能な下地、既設枠の腐食・強度を確認</x:v>
      </x:c>
      <x:c r="F15" s="248" t="str">
        <x:v>REQUIRED</x:v>
      </x:c>
      <x:c r="G15" s="248" t="str">
        <x:v>COMPLETE</x:v>
      </x:c>
      <x:c r="H15" s="249" t="str">
        <x:v>ATT-TH-EV-008</x:v>
      </x:c>
    </x:row>
  </x:sheetData>
  <x:mergeCells>
    <x:mergeCell ref="A1:I1"/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8" hidden="0" customWidth="1"/>
    <x:col min="4" max="4" width="30" hidden="0" customWidth="1"/>
    <x:col min="5" max="5" width="100" hidden="0" customWidth="1"/>
    <x:col min="6" max="6" width="28" hidden="0" customWidth="1"/>
  </x:cols>
  <x:sheetData>
    <x:row r="1" ht="28" customHeight="1">
      <x:c r="A1" s="236" t="str">
        <x:v>99_QA｜ATT-TH v1.1 FORMAL PASS判定</x:v>
      </x:c>
      <x:c r="B1" s="236"/>
      <x:c r="C1" s="236"/>
      <x:c r="D1" s="236"/>
      <x:c r="E1" s="236"/>
      <x:c r="F1" s="236"/>
    </x:row>
    <x:row r="2" ht="42" customHeight="1">
      <x:c r="A2" s="237" t="str">
        <x:v>サーモスⅡ-H / サーモスL / サーモスAの3シリーズ正本を参照し、通常見積必須PENDING=0。特殊性能・図形境界のみCOMPLETE_WITH_EXTERNAL_CHECK。</x:v>
      </x:c>
      <x:c r="B2" s="237"/>
      <x:c r="C2" s="237"/>
      <x:c r="D2" s="237"/>
      <x:c r="E2" s="237"/>
      <x:c r="F2" s="237"/>
    </x:row>
    <x:row r="3" ht="30" customHeight="1">
      <x:c r="A3" s="32"/>
      <x:c r="B3" s="33"/>
      <x:c r="C3" s="33"/>
      <x:c r="D3" s="33"/>
      <x:c r="E3" s="33"/>
      <x:c r="F3" s="34"/>
    </x:row>
    <x:row r="4">
      <x:c r="A4" s="270" t="str">
        <x:v>qa_id</x:v>
      </x:c>
      <x:c r="B4" s="271" t="str">
        <x:v>phase</x:v>
      </x:c>
      <x:c r="C4" s="271" t="str">
        <x:v>項目</x:v>
      </x:c>
      <x:c r="D4" s="271" t="str">
        <x:v>status</x:v>
      </x:c>
      <x:c r="E4" s="271" t="str">
        <x:v>判定/残課題</x:v>
      </x:c>
      <x:c r="F4" s="276" t="str">
        <x:v>evidence</x:v>
      </x:c>
    </x:row>
    <x:row r="5">
      <x:c r="A5" s="244" t="str">
        <x:v>ATT-TH-QA-01</x:v>
      </x:c>
      <x:c r="B5" s="245" t="str">
        <x:v>ATT-TH-1</x:v>
      </x:c>
      <x:c r="C5" s="245" t="str">
        <x:v>installation_system</x:v>
      </x:c>
      <x:c r="D5" s="288" t="str">
        <x:v>COMPLETE</x:v>
      </x:c>
      <x:c r="E5" s="245" t="str">
        <x:v>RPL_ATT_THを独立</x:v>
      </x:c>
      <x:c r="F5" s="246" t="str">
        <x:v>ATT-TH-EV-001,002</x:v>
      </x:c>
    </x:row>
    <x:row r="6">
      <x:c r="A6" s="244" t="str">
        <x:v>ATT-TH-QA-02</x:v>
      </x:c>
      <x:c r="B6" s="245" t="str">
        <x:v>ATT-TH-1</x:v>
      </x:c>
      <x:c r="C6" s="245" t="str">
        <x:v>対応シリーズ</x:v>
      </x:c>
      <x:c r="D6" s="288" t="str">
        <x:v>COMPLETE</x:v>
      </x:c>
      <x:c r="E6" s="245" t="str">
        <x:v>サーモスⅡ-H / L / A</x:v>
      </x:c>
      <x:c r="F6" s="246" t="str">
        <x:v>ATT-TH-EV-002,004</x:v>
      </x:c>
    </x:row>
    <x:row r="7">
      <x:c r="A7" s="244" t="str">
        <x:v>ATT-TH-QA-03</x:v>
      </x:c>
      <x:c r="B7" s="245" t="str">
        <x:v>ATT-TH-1</x:v>
      </x:c>
      <x:c r="C7" s="245" t="str">
        <x:v>S2H/L正本参照</x:v>
      </x:c>
      <x:c r="D7" s="288" t="str">
        <x:v>COMPLETE</x:v>
      </x:c>
      <x:c r="E7" s="245" t="str">
        <x:v>SER-LIX-SAMOS2H / SER-LIX-SAMOSL実在確認</x:v>
      </x:c>
      <x:c r="F7" s="246" t="str">
        <x:v>ATT-TH-EV-003,005</x:v>
      </x:c>
    </x:row>
    <x:row r="8">
      <x:c r="A8" s="244" t="str">
        <x:v>ATT-TH-QA-04</x:v>
      </x:c>
      <x:c r="B8" s="245" t="str">
        <x:v>ATT-TH-1</x:v>
      </x:c>
      <x:c r="C8" s="245" t="str">
        <x:v>サーモスA正本参照</x:v>
      </x:c>
      <x:c r="D8" s="289" t="str">
        <x:v>COMPLETE</x:v>
      </x:c>
      <x:c r="E8" s="245" t="str">
        <x:v>SER-LIX-SAMOSA / サーモスA v0.7 APP_READY正本へSSOT接続</x:v>
      </x:c>
      <x:c r="F8" s="246" t="str">
        <x:v>ATT-TH-EV-016,017</x:v>
      </x:c>
    </x:row>
    <x:row r="9">
      <x:c r="A9" s="244" t="str">
        <x:v>ATT-TH-QA-05</x:v>
      </x:c>
      <x:c r="B9" s="245" t="str">
        <x:v>ATT-TH-2</x:v>
      </x:c>
      <x:c r="C9" s="245" t="str">
        <x:v>対応窓種</x:v>
      </x:c>
      <x:c r="D9" s="288" t="str">
        <x:v>COMPLETE</x:v>
      </x:c>
      <x:c r="E9" s="245" t="str">
        <x:v>p203→S2H/L正式ID＋SAMOSA native canonical ID/ruleへ接続</x:v>
      </x:c>
      <x:c r="F9" s="246" t="str">
        <x:v>ATT-TH-EV-004,016,017</x:v>
      </x:c>
    </x:row>
    <x:row r="10">
      <x:c r="A10" s="244" t="str">
        <x:v>ATT-TH-QA-06</x:v>
      </x:c>
      <x:c r="B10" s="245" t="str">
        <x:v>ATT-TH-2</x:v>
      </x:c>
      <x:c r="C10" s="245" t="str">
        <x:v>供給方式</x:v>
      </x:c>
      <x:c r="D10" s="288" t="str">
        <x:v>COMPLETE</x:v>
      </x:c>
      <x:c r="E10" s="245" t="str">
        <x:v>別途手配＋フィンカット＋連結ねじのみ</x:v>
      </x:c>
      <x:c r="F10" s="246" t="str">
        <x:v>ATT-TH-EV-004</x:v>
      </x:c>
    </x:row>
    <x:row r="11">
      <x:c r="A11" s="244" t="str">
        <x:v>ATT-TH-QA-07</x:v>
      </x:c>
      <x:c r="B11" s="245" t="str">
        <x:v>ATT-TH-3</x:v>
      </x:c>
      <x:c r="C11" s="245" t="str">
        <x:v>既設窓/材質/建物/防火/浴室</x:v>
      </x:c>
      <x:c r="D11" s="288" t="str">
        <x:v>COMPLETE</x:v>
      </x:c>
      <x:c r="E11" s="245" t="str">
        <x:v>共通ATTルール＋ATT-TH公式差分</x:v>
      </x:c>
      <x:c r="F11" s="246" t="str">
        <x:v>ATT-TH-EV-002,008</x:v>
      </x:c>
    </x:row>
    <x:row r="12">
      <x:c r="A12" s="244" t="str">
        <x:v>ATT-TH-QA-08</x:v>
      </x:c>
      <x:c r="B12" s="245" t="str">
        <x:v>ATT-TH-4</x:v>
      </x:c>
      <x:c r="C12" s="245" t="str">
        <x:v>寸法換算</x:v>
      </x:c>
      <x:c r="D12" s="288" t="str">
        <x:v>COMPLETE</x:v>
      </x:c>
      <x:c r="E12" s="245" t="str">
        <x:v>WD/HD=-10、Thermos W=-38、H=-39</x:v>
      </x:c>
      <x:c r="F12" s="246" t="str">
        <x:v>ATT-TH-EV-007</x:v>
      </x:c>
    </x:row>
    <x:row r="13">
      <x:c r="A13" s="244" t="str">
        <x:v>ATT-TH-QA-09</x:v>
      </x:c>
      <x:c r="B13" s="245" t="str">
        <x:v>ATT-TH-4</x:v>
      </x:c>
      <x:c r="C13" s="245" t="str">
        <x:v>サイズ交差判定</x:v>
      </x:c>
      <x:c r="D13" s="288" t="str">
        <x:v>COMPLETE</x:v>
      </x:c>
      <x:c r="E13" s="245" t="str">
        <x:v>本体範囲を複製せず各正本照会</x:v>
      </x:c>
      <x:c r="F13" s="246" t="str">
        <x:v>ATT-TH-EV-003,005,007</x:v>
      </x:c>
    </x:row>
    <x:row r="14">
      <x:c r="A14" s="244" t="str">
        <x:v>ATT-TH-QA-10</x:v>
      </x:c>
      <x:c r="B14" s="245" t="str">
        <x:v>ATT-TH-4</x:v>
      </x:c>
      <x:c r="C14" s="245" t="str">
        <x:v>既設枠見込み</x:v>
      </x:c>
      <x:c r="D14" s="288" t="str">
        <x:v>COMPLETE</x:v>
      </x:c>
      <x:c r="E14" s="245" t="str">
        <x:v>90mm以下</x:v>
      </x:c>
      <x:c r="F14" s="246" t="str">
        <x:v>ATT-TH-EV-009</x:v>
      </x:c>
    </x:row>
    <x:row r="15">
      <x:c r="A15" s="244" t="str">
        <x:v>ATT-TH-QA-11</x:v>
      </x:c>
      <x:c r="B15" s="245" t="str">
        <x:v>ATT-TH-4</x:v>
      </x:c>
      <x:c r="C15" s="245" t="str">
        <x:v>下枠条件</x:v>
      </x:c>
      <x:c r="D15" s="288" t="str">
        <x:v>COMPLETE</x:v>
      </x:c>
      <x:c r="E15" s="245" t="str">
        <x:v>34～53mm、装飾窓W&lt;=800例外</x:v>
      </x:c>
      <x:c r="F15" s="246" t="str">
        <x:v>ATT-TH-EV-010</x:v>
      </x:c>
    </x:row>
    <x:row r="16">
      <x:c r="A16" s="244" t="str">
        <x:v>ATT-TH-QA-12</x:v>
      </x:c>
      <x:c r="B16" s="245" t="str">
        <x:v>ATT-TH-5</x:v>
      </x:c>
      <x:c r="C16" s="245" t="str">
        <x:v>化粧カバー</x:v>
      </x:c>
      <x:c r="D16" s="288" t="str">
        <x:v>COMPLETE</x:v>
      </x:c>
      <x:c r="E16" s="245" t="str">
        <x:v>ATT-TH専用見付を数値化</x:v>
      </x:c>
      <x:c r="F16" s="246" t="str">
        <x:v>ATT-TH-EV-011</x:v>
      </x:c>
    </x:row>
    <x:row r="17">
      <x:c r="A17" s="244" t="str">
        <x:v>ATT-TH-QA-13</x:v>
      </x:c>
      <x:c r="B17" s="245" t="str">
        <x:v>ATT-TH-5</x:v>
      </x:c>
      <x:c r="C17" s="245" t="str">
        <x:v>色責任分界</x:v>
      </x:c>
      <x:c r="D17" s="288" t="str">
        <x:v>COMPLETE</x:v>
      </x:c>
      <x:c r="E17" s="245" t="str">
        <x:v>本体色=正本、施工部材色=ATT-TH</x:v>
      </x:c>
      <x:c r="F17" s="246" t="str">
        <x:v>ATT-TH-EV-002,003,005</x:v>
      </x:c>
    </x:row>
    <x:row r="18">
      <x:c r="A18" s="244" t="str">
        <x:v>ATT-TH-QA-14</x:v>
      </x:c>
      <x:c r="B18" s="245" t="str">
        <x:v>ATT-TH-6</x:v>
      </x:c>
      <x:c r="C18" s="245" t="str">
        <x:v>網戸/ガラス/本体OP</x:v>
      </x:c>
      <x:c r="D18" s="288" t="str">
        <x:v>COMPLETE</x:v>
      </x:c>
      <x:c r="E18" s="245" t="str">
        <x:v>S2H/L/A正本参照・本体仕様重複なし</x:v>
      </x:c>
      <x:c r="F18" s="246" t="str">
        <x:v>ATT-TH-EV-003,005,016</x:v>
      </x:c>
    </x:row>
    <x:row r="19">
      <x:c r="A19" s="244" t="str">
        <x:v>ATT-TH-QA-15</x:v>
      </x:c>
      <x:c r="B19" s="245" t="str">
        <x:v>ATT-TH-6</x:v>
      </x:c>
      <x:c r="C19" s="245" t="str">
        <x:v>連窓方立/段窓無目</x:v>
      </x:c>
      <x:c r="D19" s="290" t="str">
        <x:v>COMPLETE_WITH_EXTERNAL_CHECK</x:v>
      </x:c>
      <x:c r="E19" s="245" t="str">
        <x:v>リプラス専用品を使用。純正部材は不可</x:v>
      </x:c>
      <x:c r="F19" s="246" t="str">
        <x:v>ATT-TH-EV-004,012</x:v>
      </x:c>
    </x:row>
    <x:row r="20">
      <x:c r="A20" s="244" t="str">
        <x:v>ATT-TH-QA-16</x:v>
      </x:c>
      <x:c r="B20" s="245" t="str">
        <x:v>ATT-TH-6</x:v>
      </x:c>
      <x:c r="C20" s="245" t="str">
        <x:v>有償品/OP依存</x:v>
      </x:c>
      <x:c r="D20" s="288" t="str">
        <x:v>COMPLETE</x:v>
      </x:c>
      <x:c r="E20" s="245" t="str">
        <x:v>必須施工部材と条件部材を構造化</x:v>
      </x:c>
      <x:c r="F20" s="246" t="str">
        <x:v>ATT-TH-EV-012,013</x:v>
      </x:c>
    </x:row>
    <x:row r="21">
      <x:c r="A21" s="244" t="str">
        <x:v>ATT-TH-QA-17</x:v>
      </x:c>
      <x:c r="B21" s="245" t="str">
        <x:v>ATT-TH-7</x:v>
      </x:c>
      <x:c r="C21" s="245" t="str">
        <x:v>ATT_TW比較</x:v>
      </x:c>
      <x:c r="D21" s="288" t="str">
        <x:v>COMPLETE</x:v>
      </x:c>
      <x:c r="E21" s="245" t="str">
        <x:v>主要差分を12Aに固定</x:v>
      </x:c>
      <x:c r="F21" s="246" t="str">
        <x:v>—</x:v>
      </x:c>
    </x:row>
    <x:row r="22">
      <x:c r="A22" s="244" t="str">
        <x:v>ATT-TH-QA-18</x:v>
      </x:c>
      <x:c r="B22" s="245" t="str">
        <x:v>ATT-TH-7</x:v>
      </x:c>
      <x:c r="C22" s="245" t="str">
        <x:v>Evidence</x:v>
      </x:c>
      <x:c r="D22" s="288" t="str">
        <x:v>COMPLETE</x:v>
      </x:c>
      <x:c r="E22" s="245" t="str">
        <x:v>ATT-TH-EV-001～018</x:v>
      </x:c>
      <x:c r="F22" s="246" t="str">
        <x:v>—</x:v>
      </x:c>
    </x:row>
    <x:row r="23">
      <x:c r="A23" s="247" t="str">
        <x:v>ATT-TH-QA-19</x:v>
      </x:c>
      <x:c r="B23" s="248" t="str">
        <x:v>ATT-TH-7</x:v>
      </x:c>
      <x:c r="C23" s="248" t="str">
        <x:v>特殊性能/図形境界</x:v>
      </x:c>
      <x:c r="D23" s="291" t="str">
        <x:v>COMPLETE_WITH_EXTERNAL_CHECK</x:v>
      </x:c>
      <x:c r="E23" s="248" t="str">
        <x:v>通常見積外のみ公式確認</x:v>
      </x:c>
      <x:c r="F23" s="249" t="str">
        <x:v>ATT-TH-EV-015</x:v>
      </x:c>
    </x:row>
    <x:row r="24">
      <x:c r="A24" t="str">
        <x:v>ATT-TH-QA-20</x:v>
      </x:c>
      <x:c r="B24" t="str">
        <x:v>ATT-TH-R1</x:v>
      </x:c>
      <x:c r="C24" t="str">
        <x:v>3シリーズ参照整合性</x:v>
      </x:c>
      <x:c r="D24" t="str">
        <x:v>COMPLETE</x:v>
      </x:c>
      <x:c r="E24" t="str">
        <x:v>S2H/L/Aのmaster/series/window参照確認。SAMOSAはsolid_spec非採用のためnative rule参照を正式採用。</x:v>
      </x:c>
      <x:c r="F24" t="str">
        <x:v>ATT-TH-EV-003,005,016,017</x:v>
      </x:c>
    </x:row>
    <x:row r="25">
      <x:c r="A25" t="str">
        <x:v>ATT-TH-QA-21</x:v>
      </x:c>
      <x:c r="B25" t="str">
        <x:v>ATT-TH-R1</x:v>
      </x:c>
      <x:c r="C25" t="str">
        <x:v>3シリーズGolden Test</x:v>
      </x:c>
      <x:c r="D25" t="str">
        <x:v>COMPLETE</x:v>
      </x:c>
      <x:c r="E25" t="str">
        <x:v>S2H / SL / SAMOSA の実在正本サイズで通常候補確定可</x:v>
      </x:c>
      <x:c r="F25" t="str">
        <x:v>11_見積入力テスト</x:v>
      </x:c>
    </x:row>
    <x:row r="26">
      <x:c r="A26" t="str">
        <x:v>ATT-TH-QA-22</x:v>
      </x:c>
      <x:c r="B26" t="str">
        <x:v>ATT-TH-R1</x:v>
      </x:c>
      <x:c r="C26" t="str">
        <x:v>最終Status</x:v>
      </x:c>
      <x:c r="D26" s="293" t="str">
        <x:v>FORMAL_PASS</x:v>
      </x:c>
      <x:c r="E26" t="str">
        <x:v>通常見積必須PENDING=0 / 数式エラー0 / 特殊案件は外部確認扱い</x:v>
      </x:c>
      <x:c r="F26" t="str">
        <x:v>ATT-TH-EV-016～018</x:v>
      </x:c>
    </x:row>
  </x:sheetData>
  <x:mergeCells>
    <x:mergeCell ref="A1:F1"/>
    <x:mergeCell ref="A2:F2"/>
  </x:mergeCells>
  <x:conditionalFormatting sqref="D4:D20">
    <x:cfRule type="expression" dxfId="0" priority="1">
      <x:formula>D4="COMPLETE"</x:formula>
    </x:cfRule>
    <x:cfRule type="expression" dxfId="1" priority="2">
      <x:formula>D4="PARTIAL"</x:formula>
    </x:cfRule>
    <x:cfRule type="expression" dxfId="2" priority="3">
      <x:formula>D4="UNCONFIRMED"</x:formula>
    </x:cfRule>
    <x:cfRule type="expression" dxfId="3" priority="4">
      <x:formula>D4="NOT_APPLICABLE"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4" hidden="0" customWidth="1"/>
    <x:col min="4" max="4" width="88" hidden="0" customWidth="1"/>
    <x:col min="5" max="5" width="30" hidden="0" customWidth="1"/>
    <x:col min="6" max="6" width="24" hidden="0" customWidth="1"/>
  </x:cols>
  <x:sheetData>
    <x:row r="1" ht="28" customHeight="1">
      <x:c r="A1" s="236" t="str">
        <x:v>04A_開口構成｜アタッチ枠（サーモス用）</x:v>
      </x:c>
      <x:c r="B1" s="236"/>
      <x:c r="C1" s="236"/>
      <x:c r="D1" s="236"/>
      <x:c r="E1" s="236"/>
      <x:c r="F1" s="236"/>
    </x:row>
    <x:row r="2" ht="34" customHeight="1">
      <x:c r="A2" s="11"/>
      <x:c r="B2" s="11"/>
      <x:c r="C2" s="11"/>
      <x:c r="D2" s="11"/>
      <x:c r="E2" s="11"/>
      <x:c r="F2" s="11"/>
    </x:row>
    <x:row r="3">
      <x:c r="A3" s="241" t="str">
        <x:v>opening_configuration_id</x:v>
      </x:c>
      <x:c r="B3" s="242" t="str">
        <x:v>名称</x:v>
      </x:c>
      <x:c r="C3" s="242" t="str">
        <x:v>構造/式</x:v>
      </x:c>
      <x:c r="D3" s="242" t="str">
        <x:v>参照商品側の扱い</x:v>
      </x:c>
      <x:c r="E3" s="242" t="str">
        <x:v>status</x:v>
      </x:c>
      <x:c r="F3" s="243" t="str">
        <x:v>evidence</x:v>
      </x:c>
    </x:row>
    <x:row r="4" ht="30" customHeight="1">
      <x:c r="A4" s="251" t="str">
        <x:v>SINGLE</x:v>
      </x:c>
      <x:c r="B4" s="274" t="str">
        <x:v>単窓</x:v>
      </x:c>
      <x:c r="C4" s="274" t="str">
        <x:v>基本</x:v>
      </x:c>
      <x:c r="D4" s="274" t="str">
        <x:v>サーモス本体を参照</x:v>
      </x:c>
      <x:c r="E4" s="274" t="str">
        <x:v>COMPLETE</x:v>
      </x:c>
      <x:c r="F4" s="252" t="str">
        <x:v>ATT-TH-EV-004</x:v>
      </x:c>
    </x:row>
    <x:row r="5">
      <x:c r="A5" s="244" t="str">
        <x:v>COUPLED</x:v>
      </x:c>
      <x:c r="B5" s="245" t="str">
        <x:v>連窓</x:v>
      </x:c>
      <x:c r="C5" s="245" t="str">
        <x:v>総W = W1 + 15 + W2</x:v>
      </x:c>
      <x:c r="D5" s="245" t="str">
        <x:v>リプラス専用連窓方立を追加。サーモス純正方立は不可</x:v>
      </x:c>
      <x:c r="E5" s="245" t="str">
        <x:v>COMPLETE_WITH_EXTERNAL_CHECK</x:v>
      </x:c>
      <x:c r="F5" s="246" t="str">
        <x:v>ATT-TH-EV-012</x:v>
      </x:c>
    </x:row>
    <x:row r="6">
      <x:c r="A6" s="244" t="str">
        <x:v>STACKED</x:v>
      </x:c>
      <x:c r="B6" s="245" t="str">
        <x:v>段窓</x:v>
      </x:c>
      <x:c r="C6" s="245" t="str">
        <x:v>総H = H1 + 30 + H2</x:v>
      </x:c>
      <x:c r="D6" s="245" t="str">
        <x:v>リプラス専用段窓無目を追加。サーモス純正無目は不可</x:v>
      </x:c>
      <x:c r="E6" s="245" t="str">
        <x:v>COMPLETE_WITH_EXTERNAL_CHECK</x:v>
      </x:c>
      <x:c r="F6" s="246" t="str">
        <x:v>ATT-TH-EV-012</x:v>
      </x:c>
    </x:row>
    <x:row r="7">
      <x:c r="A7" s="247" t="str">
        <x:v>COUPLED_STACKED</x:v>
      </x:c>
      <x:c r="B7" s="248" t="str">
        <x:v>連窓・段窓複合</x:v>
      </x:c>
      <x:c r="C7" s="248" t="str">
        <x:v>総H/総Wが両方の製作範囲内</x:v>
      </x:c>
      <x:c r="D7" s="248" t="str">
        <x:v>専用部材＋図形境界確認</x:v>
      </x:c>
      <x:c r="E7" s="248" t="str">
        <x:v>COMPLETE_WITH_EXTERNAL_CHECK</x:v>
      </x:c>
      <x:c r="F7" s="249" t="str">
        <x:v>ATT-TH-EV-012,015</x:v>
      </x:c>
    </x:row>
  </x:sheetData>
  <x:mergeCells>
    <x:mergeCell ref="A1:F1"/>
    <x:mergeCell ref="A2:F2"/>
    <x:mergeCell ref="A1:E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4" max="4" width="30" hidden="0" customWidth="1"/>
    <x:col min="5" max="5" width="46" hidden="0" customWidth="1"/>
    <x:col min="6" max="6" width="58" hidden="0" customWidth="1"/>
    <x:col min="7" max="7" width="14" hidden="0" customWidth="1"/>
    <x:col min="3" max="3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20" hidden="0" customWidth="1"/>
    <x:col min="17" max="17" width="32" hidden="0" customWidth="1"/>
  </x:cols>
  <x:sheetData>
    <x:row r="1">
      <x:c r="A1" s="299" t="str">
        <x:v>11_見積入力テスト｜ATT-TH v1.1 3シリーズ Golden Test</x:v>
      </x:c>
      <x:c r="B1" s="299"/>
      <x:c r="C1" s="299"/>
      <x:c r="D1" s="299"/>
      <x:c r="E1" s="299"/>
      <x:c r="F1" s="299"/>
      <x:c r="G1" s="299"/>
      <x:c r="H1" s="299"/>
      <x:c r="I1" s="299"/>
      <x:c r="J1" s="299"/>
      <x:c r="K1" s="299"/>
      <x:c r="L1" s="299"/>
      <x:c r="M1" s="299"/>
      <x:c r="N1" s="299"/>
      <x:c r="O1" s="299"/>
      <x:c r="P1" s="299"/>
      <x:c r="Q1" s="299"/>
    </x:row>
    <x:row r="2">
      <x:c r="A2" s="297" t="str">
        <x:v>実在する各正本の通常案件を使用。ATT-TH公式変換 W=WS-38 / H=HS-39 → 参照先正本サイズ判定 → ATT-THローカル条件 → 必須施工部材まで通す。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97"/>
      <x:c r="M2" s="297"/>
      <x:c r="N2" s="297"/>
      <x:c r="O2" s="297"/>
      <x:c r="P2" s="297"/>
      <x:c r="Q2" s="297"/>
    </x:row>
    <x:row r="3">
      <x:c r="A3" s="90"/>
      <x:c r="B3" s="91"/>
      <x:c r="C3" s="92"/>
      <x:c r="D3" s="91"/>
      <x:c r="E3" s="91"/>
      <x:c r="F3" s="93"/>
    </x:row>
    <x:row r="4">
      <x:c r="A4" s="307" t="str">
        <x:v>test_id</x:v>
      </x:c>
      <x:c r="B4" s="307" t="str">
        <x:v>series</x:v>
      </x:c>
      <x:c r="C4" s="307" t="str">
        <x:v>referenced_series_id</x:v>
      </x:c>
      <x:c r="D4" s="307" t="str">
        <x:v>referenced_window_id</x:v>
      </x:c>
      <x:c r="E4" s="307" t="str">
        <x:v>spec_reference</x:v>
      </x:c>
      <x:c r="F4" s="307" t="str">
        <x:v>canonical_size_proof</x:v>
      </x:c>
      <x:c r="G4" s="307" t="str">
        <x:v>canonical_W</x:v>
      </x:c>
      <x:c r="H4" s="307" t="str">
        <x:v>canonical_H</x:v>
      </x:c>
      <x:c r="I4" s="307" t="str">
        <x:v>survey_WS</x:v>
      </x:c>
      <x:c r="J4" s="307" t="str">
        <x:v>survey_HS</x:v>
      </x:c>
      <x:c r="K4" s="307" t="str">
        <x:v>derived_product_W</x:v>
      </x:c>
      <x:c r="L4" s="307" t="str">
        <x:v>derived_product_H</x:v>
      </x:c>
      <x:c r="M4" s="307" t="str">
        <x:v>existing_depth</x:v>
      </x:c>
      <x:c r="N4" s="307" t="str">
        <x:v>lower_frame_rise</x:v>
      </x:c>
      <x:c r="O4" s="307" t="str">
        <x:v>reference_validation</x:v>
      </x:c>
      <x:c r="P4" s="307" t="str">
        <x:v>local_validation</x:v>
      </x:c>
      <x:c r="Q4" s="307" t="str">
        <x:v>final_result</x:v>
      </x:c>
    </x:row>
    <x:row r="5">
      <x:c r="A5" s="122" t="str">
        <x:v>GT-ATT-TH-S2H</x:v>
      </x:c>
      <x:c r="B5" s="122" t="str">
        <x:v>サーモスⅡ-H</x:v>
      </x:c>
      <x:c r="C5" s="122" t="str">
        <x:v>SER-LIX-SAMOS2H</x:v>
      </x:c>
      <x:c r="D5" s="122" t="str">
        <x:v>WT-S2H-YOKO-SUBERI</x:v>
      </x:c>
      <x:c r="E5" s="122" t="str">
        <x:v>SP-S2H-YOKO-CAM</x:v>
      </x:c>
      <x:c r="F5" s="122" t="str">
        <x:v>SZ-S2H-01629 / active / 640×570</x:v>
      </x:c>
      <x:c r="G5" s="122" t="n">
        <x:v>640</x:v>
      </x:c>
      <x:c r="H5" s="122" t="n">
        <x:v>570</x:v>
      </x:c>
      <x:c r="I5" s="122" t="n">
        <x:v>678</x:v>
      </x:c>
      <x:c r="J5" s="122" t="n">
        <x:v>609</x:v>
      </x:c>
      <x:c r="K5" s="122" t="n">
        <x:f>I5-38</x:f>
        <x:v>640</x:v>
      </x:c>
      <x:c r="L5" s="122" t="n">
        <x:f>J5-39</x:f>
        <x:v>570</x:v>
      </x:c>
      <x:c r="M5" s="122" t="n">
        <x:v>85</x:v>
      </x:c>
      <x:c r="N5" s="122" t="n">
        <x:v>40</x:v>
      </x:c>
      <x:c r="O5" s="122" t="str">
        <x:f>IF(AND(K5=G5,L5=H5),"PASS","FAIL")</x:f>
        <x:v>PASS</x:v>
      </x:c>
      <x:c r="P5" s="122" t="str">
        <x:f>IF(AND(M5&lt;=90,N5&gt;=34,N5&lt;=53,K5&gt;=200,K5&lt;=4000,L5&gt;=200,L5&lt;=2500),"PASS","FAIL")</x:f>
        <x:v>PASS</x:v>
      </x:c>
      <x:c r="Q5" s="305" t="str">
        <x:f>IF(AND(O5="PASS",P5="PASS"),"通常候補として確定可","要確認")</x:f>
        <x:v>通常候補として確定可</x:v>
      </x:c>
    </x:row>
    <x:row r="6">
      <x:c r="A6" s="122" t="str">
        <x:v>GT-ATT-TH-SL</x:v>
      </x:c>
      <x:c r="B6" s="122" t="str">
        <x:v>サーモスL</x:v>
      </x:c>
      <x:c r="C6" s="122" t="str">
        <x:v>SER-LIX-SAMOSL</x:v>
      </x:c>
      <x:c r="D6" s="122" t="str">
        <x:v>WT-SL-YOKO-SUBERI</x:v>
      </x:c>
      <x:c r="E6" s="122" t="str">
        <x:v>SP-SL-YOKO-CAM</x:v>
      </x:c>
      <x:c r="F6" s="122" t="str">
        <x:v>SZ-SL-001542 / active / 405×370</x:v>
      </x:c>
      <x:c r="G6" s="122" t="n">
        <x:v>405</x:v>
      </x:c>
      <x:c r="H6" s="122" t="n">
        <x:v>370</x:v>
      </x:c>
      <x:c r="I6" s="122" t="n">
        <x:v>443</x:v>
      </x:c>
      <x:c r="J6" s="122" t="n">
        <x:v>409</x:v>
      </x:c>
      <x:c r="K6" s="122" t="n">
        <x:f>I6-38</x:f>
        <x:v>405</x:v>
      </x:c>
      <x:c r="L6" s="122" t="n">
        <x:f>J6-39</x:f>
        <x:v>370</x:v>
      </x:c>
      <x:c r="M6" s="122" t="n">
        <x:v>85</x:v>
      </x:c>
      <x:c r="N6" s="122" t="n">
        <x:v>40</x:v>
      </x:c>
      <x:c r="O6" s="122" t="str">
        <x:f>IF(AND(K6=G6,L6=H6),"PASS","FAIL")</x:f>
        <x:v>PASS</x:v>
      </x:c>
      <x:c r="P6" s="122" t="str">
        <x:f>IF(AND(M6&lt;=90,N6&gt;=34,N6&lt;=53,K6&gt;=200,K6&lt;=4000,L6&gt;=200,L6&lt;=2500),"PASS","FAIL")</x:f>
        <x:v>PASS</x:v>
      </x:c>
      <x:c r="Q6" s="305" t="str">
        <x:f>IF(AND(O6="PASS",P6="PASS"),"通常候補として確定可","要確認")</x:f>
        <x:v>通常候補として確定可</x:v>
      </x:c>
    </x:row>
    <x:row r="7">
      <x:c r="A7" s="122" t="str">
        <x:v>GT-ATT-TH-SA</x:v>
      </x:c>
      <x:c r="B7" s="122" t="str">
        <x:v>サーモスA</x:v>
      </x:c>
      <x:c r="C7" s="122" t="str">
        <x:v>SER-LIX-SAMOSA</x:v>
      </x:c>
      <x:c r="D7" s="122" t="str">
        <x:v>WT-SA-YOKO-SUBERI</x:v>
      </x:c>
      <x:c r="E7" s="122" t="str">
        <x:v>handle_type=cam_latch / RULE-SA-YOKO-001</x:v>
      </x:c>
      <x:c r="F7" s="122" t="str">
        <x:v>SIZE-SA-1044 AVAILABLE + GT-SA-016 PASS / 405×370</x:v>
      </x:c>
      <x:c r="G7" s="122" t="n">
        <x:v>405</x:v>
      </x:c>
      <x:c r="H7" s="122" t="n">
        <x:v>370</x:v>
      </x:c>
      <x:c r="I7" s="122" t="n">
        <x:v>443</x:v>
      </x:c>
      <x:c r="J7" s="122" t="n">
        <x:v>409</x:v>
      </x:c>
      <x:c r="K7" s="122" t="n">
        <x:f>I7-38</x:f>
        <x:v>405</x:v>
      </x:c>
      <x:c r="L7" s="122" t="n">
        <x:f>J7-39</x:f>
        <x:v>370</x:v>
      </x:c>
      <x:c r="M7" s="122" t="n">
        <x:v>85</x:v>
      </x:c>
      <x:c r="N7" s="122" t="n">
        <x:v>40</x:v>
      </x:c>
      <x:c r="O7" s="122" t="str">
        <x:f>IF(AND(K7=G7,L7=H7),"PASS","FAIL")</x:f>
        <x:v>PASS</x:v>
      </x:c>
      <x:c r="P7" s="122" t="str">
        <x:f>IF(AND(M7&lt;=90,N7&gt;=34,N7&lt;=53,K7&gt;=200,K7&lt;=4000,L7&gt;=200,L7&lt;=2500),"PASS","FAIL")</x:f>
        <x:v>PASS</x:v>
      </x:c>
      <x:c r="Q7" s="305" t="str">
        <x:f>IF(AND(O7="PASS",P7="PASS"),"通常候補として確定可","要確認")</x:f>
        <x:v>通常候補として確定可</x:v>
      </x:c>
    </x:row>
    <x:row r="8">
      <x:c r="A8" s="122"/>
      <x:c r="B8" s="122"/>
      <x:c r="C8" s="122"/>
      <x:c r="D8" s="122"/>
      <x:c r="E8" s="122"/>
      <x:c r="F8" s="122"/>
      <x:c r="G8" s="122"/>
      <x:c r="H8" s="122"/>
      <x:c r="I8" s="122"/>
      <x:c r="J8" s="122"/>
      <x:c r="K8" s="122"/>
      <x:c r="L8" s="122"/>
      <x:c r="M8" s="122"/>
      <x:c r="N8" s="122"/>
      <x:c r="O8" s="122"/>
      <x:c r="P8" s="122"/>
      <x:c r="Q8" s="122"/>
    </x:row>
    <x:row r="9">
      <x:c r="A9" s="122"/>
      <x:c r="B9" s="122"/>
      <x:c r="C9" s="122"/>
      <x:c r="D9" s="122"/>
      <x:c r="E9" s="122"/>
      <x:c r="F9" s="122"/>
      <x:c r="G9" s="122"/>
      <x:c r="H9" s="122"/>
      <x:c r="I9" s="122"/>
      <x:c r="J9" s="122"/>
      <x:c r="K9" s="122"/>
      <x:c r="L9" s="122"/>
      <x:c r="M9" s="122"/>
      <x:c r="N9" s="122"/>
      <x:c r="O9" s="122"/>
      <x:c r="P9" s="122"/>
      <x:c r="Q9" s="122"/>
    </x:row>
    <x:row r="10">
      <x:c r="A10" s="304" t="str">
        <x:v>test_id</x:v>
      </x:c>
      <x:c r="B10" s="309" t="str">
        <x:v>正本証跡</x:v>
      </x:c>
      <x:c r="C10" s="304" t="str">
        <x:v>正本側結果</x:v>
      </x:c>
      <x:c r="D10" s="304" t="str">
        <x:v>ATT-TH 必須部材</x:v>
      </x:c>
      <x:c r="E10" s="304" t="str">
        <x:v>ATT-TH差分確認</x:v>
      </x:c>
      <x:c r="F10" s="304" t="str">
        <x:v>evidence</x:v>
      </x:c>
      <x:c r="G10" s="122"/>
      <x:c r="H10" s="122"/>
      <x:c r="I10" s="122"/>
      <x:c r="J10" s="122"/>
      <x:c r="K10" s="122"/>
      <x:c r="L10" s="122"/>
      <x:c r="M10" s="122"/>
      <x:c r="N10" s="122"/>
      <x:c r="O10" s="122"/>
      <x:c r="P10" s="122"/>
      <x:c r="Q10" s="122"/>
    </x:row>
    <x:row r="11">
      <x:c r="A11" s="122" t="str">
        <x:v>GT-ATT-TH-S2H</x:v>
      </x:c>
      <x:c r="B11" s="123" t="str">
        <x:v>S2H 06_サイズ SZ-S2H-01629</x:v>
      </x:c>
      <x:c r="C11" s="122" t="str">
        <x:v>active / 640×570</x:v>
      </x:c>
      <x:c r="D11" s="122" t="str">
        <x:v>連結ねじ + 気密テープ</x:v>
      </x:c>
      <x:c r="E11" s="122" t="str">
        <x:v>H=HS-39 / depth&lt;=90 / rise 34–53</x:v>
      </x:c>
      <x:c r="F11" s="122" t="str">
        <x:v>ATT-TH-EV-003,007,009,010</x:v>
      </x:c>
      <x:c r="G11" s="122"/>
      <x:c r="H11" s="122"/>
      <x:c r="I11" s="122"/>
      <x:c r="J11" s="122"/>
      <x:c r="K11" s="122"/>
      <x:c r="L11" s="122"/>
      <x:c r="M11" s="122"/>
      <x:c r="N11" s="122"/>
      <x:c r="O11" s="122"/>
      <x:c r="P11" s="122"/>
      <x:c r="Q11" s="122"/>
    </x:row>
    <x:row r="12">
      <x:c r="A12" s="122" t="str">
        <x:v>GT-ATT-TH-SL</x:v>
      </x:c>
      <x:c r="B12" s="123" t="str">
        <x:v>SL 06_サイズ SZ-SL-001542 + GT-SL-009</x:v>
      </x:c>
      <x:c r="C12" s="122" t="str">
        <x:v>active / 405×370</x:v>
      </x:c>
      <x:c r="D12" s="122" t="str">
        <x:v>連結ねじ + 気密テープ</x:v>
      </x:c>
      <x:c r="E12" s="122" t="str">
        <x:v>H=HS-39 / depth&lt;=90 / rise 34–53</x:v>
      </x:c>
      <x:c r="F12" s="122" t="str">
        <x:v>ATT-TH-EV-005,007,009,010</x:v>
      </x:c>
      <x:c r="G12" s="122"/>
      <x:c r="H12" s="122"/>
      <x:c r="I12" s="122"/>
      <x:c r="J12" s="122"/>
      <x:c r="K12" s="122"/>
      <x:c r="L12" s="122"/>
      <x:c r="M12" s="122"/>
      <x:c r="N12" s="122"/>
      <x:c r="O12" s="122"/>
      <x:c r="P12" s="122"/>
      <x:c r="Q12" s="122"/>
    </x:row>
    <x:row r="13">
      <x:c r="A13" s="122" t="str">
        <x:v>GT-ATT-TH-SA</x:v>
      </x:c>
      <x:c r="B13" s="123" t="str">
        <x:v>SAMOSA 12_SIZE_MASTER SIZE-SA-1044 + 21_GOLDEN_TEST GT-SA-016</x:v>
      </x:c>
      <x:c r="C13" s="122" t="str">
        <x:v>AVAILABLE / Golden PASS / 405×370</x:v>
      </x:c>
      <x:c r="D13" s="122" t="str">
        <x:v>連結ねじ + 気密テープ</x:v>
      </x:c>
      <x:c r="E13" s="122" t="str">
        <x:v>native canonical rule + H=HS-39 / depth&lt;=90 / rise 34–53</x:v>
      </x:c>
      <x:c r="F13" s="122" t="str">
        <x:v>ATT-TH-EV-016,017</x:v>
      </x:c>
      <x:c r="G13" s="122"/>
      <x:c r="H13" s="122"/>
      <x:c r="I13" s="122"/>
      <x:c r="J13" s="122"/>
      <x:c r="K13" s="122"/>
      <x:c r="L13" s="122"/>
      <x:c r="M13" s="122"/>
      <x:c r="N13" s="122"/>
      <x:c r="O13" s="122"/>
      <x:c r="P13" s="122"/>
      <x:c r="Q13" s="122"/>
    </x:row>
    <x:row r="14">
      <x:c r="A14" s="122"/>
      <x:c r="B14" s="122"/>
      <x:c r="C14" s="122"/>
      <x:c r="D14" s="122"/>
      <x:c r="E14" s="122"/>
      <x:c r="F14" s="122"/>
      <x:c r="G14" s="122"/>
    </x:row>
    <x:row r="15">
      <x:c r="A15" s="122"/>
      <x:c r="B15" s="122"/>
      <x:c r="C15" s="122"/>
      <x:c r="D15" s="122"/>
      <x:c r="E15" s="122"/>
      <x:c r="F15" s="122"/>
      <x:c r="G15" s="122"/>
    </x:row>
    <x:row r="16">
      <x:c r="A16" s="122"/>
      <x:c r="B16" s="122"/>
      <x:c r="C16" s="122"/>
      <x:c r="D16" s="122"/>
      <x:c r="E16" s="122"/>
      <x:c r="F16" s="122"/>
      <x:c r="G16" s="122"/>
    </x:row>
    <x:row r="17">
      <x:c r="A17" s="122"/>
      <x:c r="B17" s="122"/>
      <x:c r="C17" s="122"/>
      <x:c r="D17" s="122"/>
      <x:c r="E17" s="122"/>
      <x:c r="F17" s="122"/>
      <x:c r="G17" s="122"/>
    </x:row>
    <x:row r="18">
      <x:c r="A18" s="122"/>
      <x:c r="B18" s="122"/>
      <x:c r="C18" s="122"/>
      <x:c r="D18" s="122"/>
      <x:c r="E18" s="122"/>
      <x:c r="F18" s="122"/>
      <x:c r="G18" s="122"/>
    </x:row>
    <x:row r="19">
      <x:c r="A19" s="122"/>
      <x:c r="B19" s="122"/>
      <x:c r="C19" s="122"/>
      <x:c r="D19" s="122"/>
      <x:c r="E19" s="122"/>
      <x:c r="F19" s="122"/>
      <x:c r="G19" s="122"/>
    </x:row>
    <x:row r="20">
      <x:c r="A20" s="122"/>
      <x:c r="B20" s="122"/>
      <x:c r="C20" s="122"/>
      <x:c r="D20" s="122"/>
      <x:c r="E20" s="122"/>
      <x:c r="F20" s="122"/>
      <x:c r="G20" s="122"/>
    </x:row>
    <x:row r="21">
      <x:c r="A21" s="122"/>
      <x:c r="B21" s="122"/>
      <x:c r="C21" s="122"/>
      <x:c r="D21" s="122"/>
      <x:c r="E21" s="122"/>
      <x:c r="F21" s="122"/>
      <x:c r="G21" s="122"/>
    </x:row>
    <x:row r="22">
      <x:c r="A22" s="122"/>
      <x:c r="B22" s="122"/>
      <x:c r="C22" s="122"/>
      <x:c r="D22" s="122"/>
      <x:c r="E22" s="122"/>
      <x:c r="F22" s="122"/>
      <x:c r="G22" s="122"/>
    </x:row>
    <x:row r="23">
      <x:c r="A23" s="122"/>
      <x:c r="B23" s="122"/>
      <x:c r="C23" s="122"/>
      <x:c r="D23" s="122"/>
      <x:c r="E23" s="122"/>
      <x:c r="F23" s="122"/>
      <x:c r="G23" s="122"/>
    </x:row>
    <x:row r="24">
      <x:c r="A24" s="122"/>
      <x:c r="B24" s="122"/>
      <x:c r="C24" s="122"/>
      <x:c r="D24" s="122"/>
      <x:c r="E24" s="122"/>
      <x:c r="F24" s="122"/>
      <x:c r="G24" s="122"/>
    </x:row>
  </x:sheetData>
  <x:mergeCells>
    <x:mergeCell ref="A1:F1"/>
    <x:mergeCell ref="A2:F2"/>
    <x:mergeCell ref="A1:G1"/>
    <x:mergeCell ref="A2:G2"/>
    <x:mergeCell ref="A1:Q1"/>
    <x:mergeCell ref="A2:Q2"/>
  </x:mergeCells>
  <x:dataValidations count="4">
    <x:dataValidation type="list" sqref="B6">
      <x:formula1>"RPL_ROOM_SLD,RPL_ROOM_VS_OP,RPL_ROOM_VS_CAM,RPL_ROOM_HS_OP,RPL_ROOM_HS_CAM,RPL_ROOM_DHFS,RPL_ROOM_FIX_OUT,RPL_ROOM_FIX_IN"</x:formula1>
    </x:dataValidation>
    <x:dataValidation type="list" sqref="B7">
      <x:formula1>"RPL_STD,RPL_BRIDGE"</x:formula1>
    </x:dataValidation>
    <x:dataValidation type="list" sqref="B8">
      <x:formula1>"2枚建,4枚建"</x:formula1>
    </x:dataValidation>
    <x:dataValidation type="list" sqref="B9">
      <x:formula1>"マド,テラス"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24" hidden="0" customWidth="1"/>
    <x:col min="9" max="9" width="18" hidden="0" customWidth="1"/>
  </x:cols>
  <x:sheetData>
    <x:row r="1">
      <x:c r="A1" s="236" t="str">
        <x:v>10C_化粧カバー見付｜ATT-TH専用</x:v>
      </x:c>
      <x:c r="B1" s="236"/>
      <x:c r="C1" s="236"/>
      <x:c r="D1" s="236"/>
      <x:c r="E1" s="236"/>
      <x:c r="F1" s="236"/>
      <x:c r="G1" s="236"/>
      <x:c r="H1" s="236"/>
      <x:c r="I1" s="127"/>
    </x:row>
    <x:row r="2" ht="42" customHeight="1">
      <x:c r="A2" s="237" t="str">
        <x:v>ATT-TWとの差分：上/縦は同じ、下枠見付だけATT-THが+5mm（大96・中61・小41）。</x:v>
      </x:c>
      <x:c r="B2" s="237"/>
      <x:c r="C2" s="237"/>
      <x:c r="D2" s="237"/>
      <x:c r="E2" s="237"/>
      <x:c r="F2" s="237"/>
      <x:c r="G2" s="237"/>
      <x:c r="H2" s="237"/>
      <x:c r="I2" s="133"/>
    </x:row>
    <x:row r="4">
      <x:c r="A4" s="241" t="str">
        <x:v>rule_id</x:v>
      </x:c>
      <x:c r="B4" s="242" t="str">
        <x:v>cover_type</x:v>
      </x:c>
      <x:c r="C4" s="242" t="str">
        <x:v>上枠見付_max</x:v>
      </x:c>
      <x:c r="D4" s="242" t="str">
        <x:v>下枠見付_max</x:v>
      </x:c>
      <x:c r="E4" s="242" t="str">
        <x:v>縦枠見付_max</x:v>
      </x:c>
      <x:c r="F4" s="242" t="str">
        <x:v>ui_action</x:v>
      </x:c>
      <x:c r="G4" s="242" t="str">
        <x:v>status</x:v>
      </x:c>
      <x:c r="H4" s="243" t="str">
        <x:v>evidence</x:v>
      </x:c>
      <x:c r="I4" s="143"/>
    </x:row>
    <x:row r="5">
      <x:c r="A5" s="244" t="str">
        <x:v>ATT-TH-COV-L</x:v>
      </x:c>
      <x:c r="B5" s="245" t="str">
        <x:v>大</x:v>
      </x:c>
      <x:c r="C5" s="245" t="n">
        <x:v>71.5</x:v>
      </x:c>
      <x:c r="D5" s="245" t="n">
        <x:v>96</x:v>
      </x:c>
      <x:c r="E5" s="245" t="n">
        <x:v>34</x:v>
      </x:c>
      <x:c r="F5" s="245" t="str">
        <x:v>条件内なら表示</x:v>
      </x:c>
      <x:c r="G5" s="245" t="str">
        <x:v>COMPLETE</x:v>
      </x:c>
      <x:c r="H5" s="246" t="str">
        <x:v>ATT-TH-EV-011</x:v>
      </x:c>
      <x:c r="I5" s="146"/>
    </x:row>
    <x:row r="6">
      <x:c r="A6" s="244" t="str">
        <x:v>ATT-TH-COV-M</x:v>
      </x:c>
      <x:c r="B6" s="245" t="str">
        <x:v>中</x:v>
      </x:c>
      <x:c r="C6" s="245" t="n">
        <x:v>36.5</x:v>
      </x:c>
      <x:c r="D6" s="245" t="n">
        <x:v>61</x:v>
      </x:c>
      <x:c r="E6" s="245" t="n">
        <x:v>34</x:v>
      </x:c>
      <x:c r="F6" s="245" t="str">
        <x:v>条件内なら表示</x:v>
      </x:c>
      <x:c r="G6" s="245" t="str">
        <x:v>COMPLETE</x:v>
      </x:c>
      <x:c r="H6" s="246" t="str">
        <x:v>ATT-TH-EV-011</x:v>
      </x:c>
      <x:c r="I6" s="146"/>
    </x:row>
    <x:row r="7">
      <x:c r="A7" s="247" t="str">
        <x:v>ATT-TH-COV-S</x:v>
      </x:c>
      <x:c r="B7" s="248" t="str">
        <x:v>小</x:v>
      </x:c>
      <x:c r="C7" s="248" t="n">
        <x:v>16.5</x:v>
      </x:c>
      <x:c r="D7" s="248" t="n">
        <x:v>41</x:v>
      </x:c>
      <x:c r="E7" s="248" t="n">
        <x:v>9</x:v>
      </x:c>
      <x:c r="F7" s="248" t="str">
        <x:v>条件内なら表示</x:v>
      </x:c>
      <x:c r="G7" s="248" t="str">
        <x:v>COMPLETE</x:v>
      </x:c>
      <x:c r="H7" s="249" t="str">
        <x:v>ATT-TH-EV-011</x:v>
      </x:c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4"/>
      <x:c r="B13" s="145"/>
      <x:c r="C13" s="145"/>
      <x:c r="D13" s="145"/>
      <x:c r="E13" s="145"/>
      <x:c r="F13" s="145"/>
      <x:c r="G13" s="145"/>
      <x:c r="H13" s="145"/>
      <x:c r="I13" s="146"/>
    </x:row>
    <x:row r="14">
      <x:c r="A14" s="144"/>
      <x:c r="B14" s="145"/>
      <x:c r="C14" s="145"/>
      <x:c r="D14" s="145"/>
      <x:c r="E14" s="145"/>
      <x:c r="F14" s="145"/>
      <x:c r="G14" s="145"/>
      <x:c r="H14" s="145"/>
      <x:c r="I14" s="146"/>
    </x:row>
    <x:row r="15">
      <x:c r="A15" s="144"/>
      <x:c r="B15" s="145"/>
      <x:c r="C15" s="145"/>
      <x:c r="D15" s="145"/>
      <x:c r="E15" s="145"/>
      <x:c r="F15" s="145"/>
      <x:c r="G15" s="145"/>
      <x:c r="H15" s="145"/>
      <x:c r="I15" s="146"/>
    </x:row>
    <x:row r="16">
      <x:c r="A16" s="147"/>
      <x:c r="B16" s="148"/>
      <x:c r="C16" s="148"/>
      <x:c r="D16" s="148"/>
      <x:c r="E16" s="148"/>
      <x:c r="F16" s="148"/>
      <x:c r="G16" s="148"/>
      <x:c r="H16" s="148"/>
      <x:c r="I16" s="149"/>
    </x:row>
  </x:sheetData>
  <x:mergeCells>
    <x:mergeCell ref="A1:I1"/>
    <x:mergeCell ref="A2:I2"/>
    <x:mergeCell ref="A1:H1"/>
    <x:mergeCell ref="A2:H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28" hidden="0" customWidth="1"/>
    <x:col min="5" max="5" width="54" hidden="0" customWidth="1"/>
    <x:col min="6" max="6" width="60" hidden="0" customWidth="1"/>
    <x:col min="7" max="7" width="30" hidden="0" customWidth="1"/>
    <x:col min="8" max="8" width="30" hidden="0" customWidth="1"/>
    <x:col min="9" max="9" width="30" hidden="0" customWidth="1"/>
    <x:col min="10" max="10" width="24" hidden="0" customWidth="1"/>
    <x:col min="11" max="11" width="24" hidden="0" customWidth="1"/>
  </x:cols>
  <x:sheetData>
    <x:row r="1">
      <x:c r="A1" s="236" t="str">
        <x:v>02B_参照商品｜サーモス正本</x:v>
      </x:c>
      <x:c r="B1" s="236"/>
      <x:c r="C1" s="236"/>
      <x:c r="D1" s="236"/>
      <x:c r="E1" s="236"/>
      <x:c r="F1" s="236"/>
      <x:c r="G1" s="236"/>
      <x:c r="H1" s="236"/>
      <x:c r="I1" s="236"/>
      <x:c r="J1" s="236"/>
    </x:row>
    <x:row r="2" ht="42" customHeight="1">
      <x:c r="A2" s="294" t="str">
        <x:v>サーモスⅡ-H / L / A を各商品マスター正本へSingle Source of Truth接続。サーモスAはv0.7 APP_READY正本へ正式接続済み。</x:v>
      </x:c>
      <x:c r="B2" s="294"/>
      <x:c r="C2" s="294"/>
      <x:c r="D2" s="294"/>
      <x:c r="E2" s="294"/>
      <x:c r="F2" s="294"/>
      <x:c r="G2" s="294"/>
      <x:c r="H2" s="294"/>
      <x:c r="I2" s="294"/>
      <x:c r="J2" s="294"/>
      <x:c r="K2" s="297"/>
    </x:row>
    <x:row r="3">
      <x:c r="A3" s="181"/>
      <x:c r="B3" s="182"/>
      <x:c r="C3" s="182"/>
      <x:c r="D3" s="182"/>
      <x:c r="E3" s="182"/>
      <x:c r="F3" s="182"/>
      <x:c r="G3" s="182"/>
      <x:c r="H3" s="182"/>
      <x:c r="I3" s="183"/>
    </x:row>
    <x:row r="4">
      <x:c r="A4" s="270" t="str">
        <x:v>reference_id</x:v>
      </x:c>
      <x:c r="B4" s="271" t="str">
        <x:v>manufacturer</x:v>
      </x:c>
      <x:c r="C4" s="271" t="str">
        <x:v>series</x:v>
      </x:c>
      <x:c r="D4" s="271" t="str">
        <x:v>referenced_series_id</x:v>
      </x:c>
      <x:c r="E4" s="271" t="str">
        <x:v>referenced_master_id</x:v>
      </x:c>
      <x:c r="F4" s="271" t="str">
        <x:v>referenced_master_title</x:v>
      </x:c>
      <x:c r="G4" s="271" t="str">
        <x:v>reference_role</x:v>
      </x:c>
      <x:c r="H4" s="271" t="str">
        <x:v>ui_status</x:v>
      </x:c>
      <x:c r="I4" s="271" t="str">
        <x:v>status</x:v>
      </x:c>
      <x:c r="J4" s="243" t="str">
        <x:v>evidence</x:v>
      </x:c>
      <x:c r="K4" t="str">
        <x:v>referenced_master_version</x:v>
      </x:c>
    </x:row>
    <x:row r="5">
      <x:c r="A5" s="244" t="str">
        <x:v>REF-S2H</x:v>
      </x:c>
      <x:c r="B5" s="245" t="str">
        <x:v>LIXIL</x:v>
      </x:c>
      <x:c r="C5" s="245" t="str">
        <x:v>サーモスⅡ-H</x:v>
      </x:c>
      <x:c r="D5" s="245" t="str">
        <x:v>SER-LIX-SAMOS2H</x:v>
      </x:c>
      <x:c r="E5" s="245" t="str">
        <x:v>1zHi-XsMqJp0MKH-sDoTcnTqkLMGcuRdo</x:v>
      </x:c>
      <x:c r="F5" s="245" t="str">
        <x:v>サーモスⅡH_商品マスター_v0.7_完全完成版.xlsx</x:v>
      </x:c>
      <x:c r="G5" s="245" t="str">
        <x:v>SINGLE_SOURCE_OF_TRUTH</x:v>
      </x:c>
      <x:c r="H5" s="245" t="str">
        <x:v>ACTIVE</x:v>
      </x:c>
      <x:c r="I5" s="245" t="str">
        <x:v>COMPLETE</x:v>
      </x:c>
      <x:c r="J5" s="246" t="str">
        <x:v>ATT-TH-EV-003</x:v>
      </x:c>
      <x:c r="K5" t="str">
        <x:v>v0.7</x:v>
      </x:c>
    </x:row>
    <x:row r="6">
      <x:c r="A6" s="244" t="str">
        <x:v>REF-SL</x:v>
      </x:c>
      <x:c r="B6" s="245" t="str">
        <x:v>LIXIL</x:v>
      </x:c>
      <x:c r="C6" s="245" t="str">
        <x:v>サーモスL</x:v>
      </x:c>
      <x:c r="D6" s="245" t="str">
        <x:v>SER-LIX-SAMOSL</x:v>
      </x:c>
      <x:c r="E6" s="245" t="str">
        <x:v>17lVzBZ1hp4RVcGv0yNdnrKt25SFO2FhL</x:v>
      </x:c>
      <x:c r="F6" s="245" t="str">
        <x:v>サーモスL_商品マスター_v0.7_特注寸法発注アプリ投入完成版_QA確定.xlsx</x:v>
      </x:c>
      <x:c r="G6" s="245" t="str">
        <x:v>SINGLE_SOURCE_OF_TRUTH</x:v>
      </x:c>
      <x:c r="H6" s="245" t="str">
        <x:v>ACTIVE</x:v>
      </x:c>
      <x:c r="I6" s="245" t="str">
        <x:v>COMPLETE</x:v>
      </x:c>
      <x:c r="J6" s="246" t="str">
        <x:v>ATT-TH-EV-005</x:v>
      </x:c>
      <x:c r="K6" t="str">
        <x:v>v0.7</x:v>
      </x:c>
    </x:row>
    <x:row r="7">
      <x:c r="A7" s="244" t="str">
        <x:v>REF-SA</x:v>
      </x:c>
      <x:c r="B7" s="245" t="str">
        <x:v>LIXIL</x:v>
      </x:c>
      <x:c r="C7" s="245" t="str">
        <x:v>サーモスA</x:v>
      </x:c>
      <x:c r="D7" s="245" t="str">
        <x:v>SER-LIX-SAMOSA</x:v>
      </x:c>
      <x:c r="E7" s="245" t="str">
        <x:v>1cDEFzi0g1DzM5YoeGvZtHuXionD7tmFD</x:v>
      </x:c>
      <x:c r="F7" s="245" t="str">
        <x:v>サーモスA_商品マスター_v0.7.xlsx</x:v>
      </x:c>
      <x:c r="G7" s="245" t="str">
        <x:v>SINGLE_SOURCE_OF_TRUTH</x:v>
      </x:c>
      <x:c r="H7" s="245" t="str">
        <x:v>ACTIVE</x:v>
      </x:c>
      <x:c r="I7" s="245" t="str">
        <x:v>COMPLETE</x:v>
      </x:c>
      <x:c r="J7" s="246" t="str">
        <x:v>ATT-TH-EV-016,017</x:v>
      </x:c>
      <x:c r="K7" t="str">
        <x:v>v0.7</x:v>
      </x:c>
    </x:row>
    <x:row r="8">
      <x:c r="A8" s="247" t="str">
        <x:v>REF-FIRE</x:v>
      </x:c>
      <x:c r="B8" s="248" t="str">
        <x:v>LIXIL</x:v>
      </x:c>
      <x:c r="C8" s="248" t="str">
        <x:v>防火戸FG-H/L/A</x:v>
      </x:c>
      <x:c r="D8" s="248" t="str">
        <x:v>—</x:v>
      </x:c>
      <x:c r="E8" s="248" t="str">
        <x:v>—</x:v>
      </x:c>
      <x:c r="F8" s="248" t="str">
        <x:v>別商品体系</x:v>
      </x:c>
      <x:c r="G8" s="248" t="str">
        <x:v>NOT_REFERENCED</x:v>
      </x:c>
      <x:c r="H8" s="248" t="str">
        <x:v>HIDE</x:v>
      </x:c>
      <x:c r="I8" s="248" t="str">
        <x:v>NOT_APPLICABLE</x:v>
      </x:c>
      <x:c r="J8" s="249" t="str">
        <x:v>ATT-TH-EV-001,003,005</x:v>
      </x:c>
      <x:c r="K8" t="str">
        <x:v>NOT_APPLICABLE</x:v>
      </x:c>
    </x:row>
  </x:sheetData>
  <x:mergeCells>
    <x:mergeCell ref="A1:I1"/>
    <x:mergeCell ref="A1:J1"/>
    <x:mergeCell ref="A2:J2"/>
    <x:mergeCell ref="A2:K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46" hidden="0" customWidth="1"/>
    <x:col min="4" max="4" width="76" hidden="0" customWidth="1"/>
    <x:col min="5" max="5" width="42" hidden="0" customWidth="1"/>
    <x:col min="6" max="6" width="18" hidden="0" customWidth="1"/>
    <x:col min="7" max="7" width="24" hidden="0" customWidth="1"/>
  </x:cols>
  <x:sheetData>
    <x:row r="1">
      <x:c r="A1" s="236" t="str">
        <x:v>02C_新設サッシ手配方式｜アタッチ枠サーモス</x:v>
      </x:c>
      <x:c r="B1" s="236"/>
      <x:c r="C1" s="236"/>
      <x:c r="D1" s="236"/>
      <x:c r="E1" s="236"/>
      <x:c r="F1" s="236"/>
      <x:c r="G1" s="236"/>
    </x:row>
    <x:row r="2" ht="42" customHeight="1">
      <x:c r="A2" s="237" t="str">
        <x:v>ATT-TWの専用新設サッシ経路はATT-THには設定しない。公式p203の※1・※2に従い全対応シリーズを別途手配。</x:v>
      </x:c>
      <x:c r="B2" s="237"/>
      <x:c r="C2" s="237"/>
      <x:c r="D2" s="237"/>
      <x:c r="E2" s="237"/>
      <x:c r="F2" s="237"/>
      <x:c r="G2" s="237"/>
    </x:row>
    <x:row r="3">
      <x:c r="A3" s="181"/>
      <x:c r="B3" s="182"/>
      <x:c r="C3" s="182"/>
      <x:c r="D3" s="182"/>
      <x:c r="E3" s="182"/>
      <x:c r="F3" s="183"/>
    </x:row>
    <x:row r="4">
      <x:c r="A4" s="270" t="str">
        <x:v>supply_mode_id</x:v>
      </x:c>
      <x:c r="B4" s="271" t="str">
        <x:v>公式区分</x:v>
      </x:c>
      <x:c r="C4" s="271" t="str">
        <x:v>対象シリーズ</x:v>
      </x:c>
      <x:c r="D4" s="271" t="str">
        <x:v>内容</x:v>
      </x:c>
      <x:c r="E4" s="271" t="str">
        <x:v>required_parts</x:v>
      </x:c>
      <x:c r="F4" s="271" t="str">
        <x:v>status</x:v>
      </x:c>
      <x:c r="G4" s="243" t="str">
        <x:v>evidence</x:v>
      </x:c>
    </x:row>
    <x:row r="5">
      <x:c r="A5" s="247" t="str">
        <x:v>THERMOS_SEPARATE</x:v>
      </x:c>
      <x:c r="B5" s="248" t="str">
        <x:v>サーモスシリーズ別途手配</x:v>
      </x:c>
      <x:c r="C5" s="248" t="str">
        <x:v>サーモスⅡ-H / サーモスL / サーモスA</x:v>
      </x:c>
      <x:c r="D5" s="248" t="str">
        <x:v>釘打ちフィンをカットしてアタッチ枠と組合せ</x:v>
      </x:c>
      <x:c r="E5" s="248" t="str">
        <x:v>アタッチ枠連結ねじ必須</x:v>
      </x:c>
      <x:c r="F5" s="248" t="str">
        <x:v>COMPLETE</x:v>
      </x:c>
      <x:c r="G5" s="249" t="str">
        <x:v>ATT-TH-EV-002,004,013</x:v>
      </x:c>
    </x:row>
  </x:sheetData>
  <x:mergeCells>
    <x:mergeCell ref="A1:F1"/>
    <x:mergeCell ref="A1:G1"/>
    <x:mergeCell ref="A2:G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8" hidden="0" customWidth="1"/>
    <x:col min="5" max="5" width="54" hidden="0" customWidth="1"/>
    <x:col min="6" max="6" width="26" hidden="0" customWidth="1"/>
    <x:col min="7" max="7" width="30" hidden="0" customWidth="1"/>
    <x:col min="8" max="8" width="24" hidden="0" customWidth="1"/>
    <x:col min="9" max="9" width="28" hidden="0" customWidth="1"/>
  </x:cols>
  <x:sheetData>
    <x:row r="1">
      <x:c r="A1" s="236" t="str">
        <x:v>03C_対応サーモス窓種｜公式p203 → 正本ID</x:v>
      </x:c>
      <x:c r="B1" s="236"/>
      <x:c r="C1" s="236"/>
      <x:c r="D1" s="236"/>
      <x:c r="E1" s="236"/>
      <x:c r="F1" s="236"/>
      <x:c r="G1" s="236"/>
      <x:c r="H1" s="236"/>
    </x:row>
    <x:row r="2" ht="42" customHeight="1">
      <x:c r="A2" s="294" t="str">
        <x:v>S2H/Lは有効solid_spec IDを参照。サーモスA正本にはsolid_spec_id軸がないため、window_type_id＋native canonical fields/dependency rulesでATT-TH公式対応範囲を表現する。</x:v>
      </x:c>
      <x:c r="B2" s="294"/>
      <x:c r="C2" s="294"/>
      <x:c r="D2" s="294"/>
      <x:c r="E2" s="294"/>
      <x:c r="F2" s="294"/>
      <x:c r="G2" s="294"/>
      <x:c r="H2" s="294"/>
      <x:c r="I2" s="297"/>
    </x:row>
    <x:row r="4">
      <x:c r="A4" s="241" t="str">
        <x:v>rule_id</x:v>
      </x:c>
      <x:c r="B4" s="242" t="str">
        <x:v>referenced_series_id</x:v>
      </x:c>
      <x:c r="C4" s="242" t="str">
        <x:v>referenced_window_id</x:v>
      </x:c>
      <x:c r="D4" s="242" t="str">
        <x:v>公式品種</x:v>
      </x:c>
      <x:c r="E4" s="242" t="str">
        <x:v>referenced_spec_filter</x:v>
      </x:c>
      <x:c r="F4" s="242" t="str">
        <x:v>supply_mode</x:v>
      </x:c>
      <x:c r="G4" s="242" t="str">
        <x:v>status</x:v>
      </x:c>
      <x:c r="H4" s="243" t="str">
        <x:v>evidence</x:v>
      </x:c>
      <x:c r="I4" t="str">
        <x:v>reference_spec_mode</x:v>
      </x:c>
    </x:row>
    <x:row r="5">
      <x:c r="A5" s="244" t="str">
        <x:v>ATT-TH-W-001</x:v>
      </x:c>
      <x:c r="B5" s="245" t="str">
        <x:v>SER-LIX-SAMOS2H</x:v>
      </x:c>
      <x:c r="C5" s="245" t="str">
        <x:v>WT-S2H-TATE-SUBERI</x:v>
      </x:c>
      <x:c r="D5" s="245" t="str">
        <x:v>縦すべり出し窓</x:v>
      </x:c>
      <x:c r="E5" s="245" t="str">
        <x:v>OP:T/TF/TFT + CAM:T/TF/TFT</x:v>
      </x:c>
      <x:c r="F5" s="245" t="str">
        <x:v>THERMOS_SEPARATE</x:v>
      </x:c>
      <x:c r="G5" s="245" t="str">
        <x:v>COMPLETE</x:v>
      </x:c>
      <x:c r="H5" s="246" t="str">
        <x:v>ATT-TH-EV-003,004</x:v>
      </x:c>
      <x:c r="I5" t="str">
        <x:v>SOLID_SPEC_ID</x:v>
      </x:c>
    </x:row>
    <x:row r="6">
      <x:c r="A6" s="244" t="str">
        <x:v>ATT-TH-W-002</x:v>
      </x:c>
      <x:c r="B6" s="245" t="str">
        <x:v>SER-LIX-SAMOS2H</x:v>
      </x:c>
      <x:c r="C6" s="245" t="str">
        <x:v>WT-S2H-YOKO-SUBERI</x:v>
      </x:c>
      <x:c r="D6" s="245" t="str">
        <x:v>横すべり出し窓</x:v>
      </x:c>
      <x:c r="E6" s="245" t="str">
        <x:v>SP-S2H-YOKO-OP / SP-S2H-YOKO-CAM</x:v>
      </x:c>
      <x:c r="F6" s="245" t="str">
        <x:v>THERMOS_SEPARATE</x:v>
      </x:c>
      <x:c r="G6" s="245" t="str">
        <x:v>COMPLETE</x:v>
      </x:c>
      <x:c r="H6" s="246" t="str">
        <x:v>ATT-TH-EV-003,004</x:v>
      </x:c>
      <x:c r="I6" t="str">
        <x:v>SOLID_SPEC_ID</x:v>
      </x:c>
    </x:row>
    <x:row r="7">
      <x:c r="A7" s="244" t="str">
        <x:v>ATT-TH-W-003</x:v>
      </x:c>
      <x:c r="B7" s="245" t="str">
        <x:v>SER-LIX-SAMOS2H</x:v>
      </x:c>
      <x:c r="C7" s="245" t="str">
        <x:v>WT-S2H-KOSHO-YOKO</x:v>
      </x:c>
      <x:c r="D7" s="245" t="str">
        <x:v>高所用横すべり出し窓</x:v>
      </x:c>
      <x:c r="E7" s="245" t="str">
        <x:v>ALL_ACTIVE</x:v>
      </x:c>
      <x:c r="F7" s="245" t="str">
        <x:v>THERMOS_SEPARATE</x:v>
      </x:c>
      <x:c r="G7" s="245" t="str">
        <x:v>COMPLETE</x:v>
      </x:c>
      <x:c r="H7" s="246" t="str">
        <x:v>ATT-TH-EV-003,004</x:v>
      </x:c>
      <x:c r="I7" t="str">
        <x:v>SOLID_SPEC_ID</x:v>
      </x:c>
    </x:row>
    <x:row r="8">
      <x:c r="A8" s="244" t="str">
        <x:v>ATT-TH-W-004</x:v>
      </x:c>
      <x:c r="B8" s="245" t="str">
        <x:v>SER-LIX-SAMOS2H</x:v>
      </x:c>
      <x:c r="C8" s="245" t="str">
        <x:v>WT-S2H-AGE-SAGE-FS</x:v>
      </x:c>
      <x:c r="D8" s="245" t="str">
        <x:v>上げ下げ窓FS</x:v>
      </x:c>
      <x:c r="E8" s="245" t="str">
        <x:v>ALL_ACTIVE</x:v>
      </x:c>
      <x:c r="F8" s="245" t="str">
        <x:v>THERMOS_SEPARATE</x:v>
      </x:c>
      <x:c r="G8" s="245" t="str">
        <x:v>COMPLETE</x:v>
      </x:c>
      <x:c r="H8" s="246" t="str">
        <x:v>ATT-TH-EV-003,004</x:v>
      </x:c>
      <x:c r="I8" t="str">
        <x:v>SOLID_SPEC_ID</x:v>
      </x:c>
    </x:row>
    <x:row r="9">
      <x:c r="A9" s="244" t="str">
        <x:v>ATT-TH-W-005</x:v>
      </x:c>
      <x:c r="B9" s="245" t="str">
        <x:v>SER-LIX-SAMOS2H</x:v>
      </x:c>
      <x:c r="C9" s="245" t="str">
        <x:v>WT-S2H-MENKOSHI-AGE-FS</x:v>
      </x:c>
      <x:c r="D9" s="245" t="str">
        <x:v>面格子付上げ下げ窓FS</x:v>
      </x:c>
      <x:c r="E9" s="245" t="str">
        <x:v>ALL_ACTIVE</x:v>
      </x:c>
      <x:c r="F9" s="245" t="str">
        <x:v>THERMOS_SEPARATE</x:v>
      </x:c>
      <x:c r="G9" s="245" t="str">
        <x:v>COMPLETE</x:v>
      </x:c>
      <x:c r="H9" s="246" t="str">
        <x:v>ATT-TH-EV-003,004</x:v>
      </x:c>
      <x:c r="I9" t="str">
        <x:v>SOLID_SPEC_ID</x:v>
      </x:c>
    </x:row>
    <x:row r="10">
      <x:c r="A10" s="244" t="str">
        <x:v>ATT-TH-W-006</x:v>
      </x:c>
      <x:c r="B10" s="245" t="str">
        <x:v>SER-LIX-SAMOS2H</x:v>
      </x:c>
      <x:c r="C10" s="245" t="str">
        <x:v>WT-S2H-FIX-OUT</x:v>
      </x:c>
      <x:c r="D10" s="245" t="str">
        <x:v>FIX窓（外押縁タイプ）</x:v>
      </x:c>
      <x:c r="E10" s="245" t="str">
        <x:v>ALL_ACTIVE</x:v>
      </x:c>
      <x:c r="F10" s="245" t="str">
        <x:v>THERMOS_SEPARATE</x:v>
      </x:c>
      <x:c r="G10" s="245" t="str">
        <x:v>COMPLETE</x:v>
      </x:c>
      <x:c r="H10" s="246" t="str">
        <x:v>ATT-TH-EV-003,004</x:v>
      </x:c>
      <x:c r="I10" t="str">
        <x:v>SOLID_SPEC_ID</x:v>
      </x:c>
    </x:row>
    <x:row r="11">
      <x:c r="A11" s="244" t="str">
        <x:v>ATT-TH-W-007</x:v>
      </x:c>
      <x:c r="B11" s="245" t="str">
        <x:v>SER-LIX-SAMOS2H</x:v>
      </x:c>
      <x:c r="C11" s="245" t="str">
        <x:v>WT-S2H-FIX-IN</x:v>
      </x:c>
      <x:c r="D11" s="245" t="str">
        <x:v>FIX窓（内押縁タイプ）</x:v>
      </x:c>
      <x:c r="E11" s="245" t="str">
        <x:v>ALL_ACTIVE</x:v>
      </x:c>
      <x:c r="F11" s="245" t="str">
        <x:v>THERMOS_SEPARATE</x:v>
      </x:c>
      <x:c r="G11" s="245" t="str">
        <x:v>COMPLETE</x:v>
      </x:c>
      <x:c r="H11" s="246" t="str">
        <x:v>ATT-TH-EV-003,004</x:v>
      </x:c>
      <x:c r="I11" t="str">
        <x:v>SOLID_SPEC_ID</x:v>
      </x:c>
    </x:row>
    <x:row r="12">
      <x:c r="A12" s="244" t="str">
        <x:v>ATT-TH-W-008</x:v>
      </x:c>
      <x:c r="B12" s="245" t="str">
        <x:v>SER-LIX-SAMOS2H</x:v>
      </x:c>
      <x:c r="C12" s="245" t="str">
        <x:v>WT-S2H-UCHIDAOSHI</x:v>
      </x:c>
      <x:c r="D12" s="245" t="str">
        <x:v>内倒し窓</x:v>
      </x:c>
      <x:c r="E12" s="245" t="str">
        <x:v>ALL_ACTIVE</x:v>
      </x:c>
      <x:c r="F12" s="245" t="str">
        <x:v>THERMOS_SEPARATE</x:v>
      </x:c>
      <x:c r="G12" s="245" t="str">
        <x:v>COMPLETE</x:v>
      </x:c>
      <x:c r="H12" s="246" t="str">
        <x:v>ATT-TH-EV-003,004</x:v>
      </x:c>
      <x:c r="I12" t="str">
        <x:v>SOLID_SPEC_ID</x:v>
      </x:c>
    </x:row>
    <x:row r="13">
      <x:c r="A13" s="244" t="str">
        <x:v>ATT-TH-W-009</x:v>
      </x:c>
      <x:c r="B13" s="245" t="str">
        <x:v>SER-LIX-SAMOS2H</x:v>
      </x:c>
      <x:c r="C13" s="245" t="str">
        <x:v>WT-S2H-SOTODAOSHI</x:v>
      </x:c>
      <x:c r="D13" s="245" t="str">
        <x:v>外倒し窓</x:v>
      </x:c>
      <x:c r="E13" s="245" t="str">
        <x:v>SP-S2H-OUTWARD-E / SP-S2H-OUTWARD-EE</x:v>
      </x:c>
      <x:c r="F13" s="245" t="str">
        <x:v>THERMOS_SEPARATE</x:v>
      </x:c>
      <x:c r="G13" s="245" t="str">
        <x:v>COMPLETE</x:v>
      </x:c>
      <x:c r="H13" s="246" t="str">
        <x:v>ATT-TH-EV-003,004</x:v>
      </x:c>
      <x:c r="I13" t="str">
        <x:v>SOLID_SPEC_ID</x:v>
      </x:c>
    </x:row>
    <x:row r="14">
      <x:c r="A14" s="244" t="str">
        <x:v>ATT-TH-W-010</x:v>
      </x:c>
      <x:c r="B14" s="245" t="str">
        <x:v>SER-LIX-SAMOSL</x:v>
      </x:c>
      <x:c r="C14" s="245" t="str">
        <x:v>WT-SL-TATE-SUBERI</x:v>
      </x:c>
      <x:c r="D14" s="245" t="str">
        <x:v>縦すべり出し窓</x:v>
      </x:c>
      <x:c r="E14" s="245" t="str">
        <x:v>OP:T/TF/TFT + CAM:T/TF/TFT</x:v>
      </x:c>
      <x:c r="F14" s="245" t="str">
        <x:v>THERMOS_SEPARATE</x:v>
      </x:c>
      <x:c r="G14" s="245" t="str">
        <x:v>COMPLETE</x:v>
      </x:c>
      <x:c r="H14" s="246" t="str">
        <x:v>ATT-TH-EV-004,005</x:v>
      </x:c>
      <x:c r="I14" t="str">
        <x:v>SOLID_SPEC_ID</x:v>
      </x:c>
    </x:row>
    <x:row r="15">
      <x:c r="A15" s="244" t="str">
        <x:v>ATT-TH-W-011</x:v>
      </x:c>
      <x:c r="B15" s="245" t="str">
        <x:v>SER-LIX-SAMOSL</x:v>
      </x:c>
      <x:c r="C15" s="245" t="str">
        <x:v>WT-SL-YOKO-SUBERI</x:v>
      </x:c>
      <x:c r="D15" s="245" t="str">
        <x:v>横すべり出し窓</x:v>
      </x:c>
      <x:c r="E15" s="245" t="str">
        <x:v>SP-SL-YOKO-OP / SP-SL-YOKO-CAM</x:v>
      </x:c>
      <x:c r="F15" s="245" t="str">
        <x:v>THERMOS_SEPARATE</x:v>
      </x:c>
      <x:c r="G15" s="245" t="str">
        <x:v>COMPLETE</x:v>
      </x:c>
      <x:c r="H15" s="246" t="str">
        <x:v>ATT-TH-EV-004,005</x:v>
      </x:c>
      <x:c r="I15" t="str">
        <x:v>SOLID_SPEC_ID</x:v>
      </x:c>
    </x:row>
    <x:row r="16">
      <x:c r="A16" s="244" t="str">
        <x:v>ATT-TH-W-012</x:v>
      </x:c>
      <x:c r="B16" s="245" t="str">
        <x:v>SER-LIX-SAMOSL</x:v>
      </x:c>
      <x:c r="C16" s="245" t="str">
        <x:v>WT-SL-KOSHO-YOKO</x:v>
      </x:c>
      <x:c r="D16" s="245" t="str">
        <x:v>高所用横すべり出し窓</x:v>
      </x:c>
      <x:c r="E16" s="245" t="str">
        <x:v>ALL_ACTIVE</x:v>
      </x:c>
      <x:c r="F16" s="245" t="str">
        <x:v>THERMOS_SEPARATE</x:v>
      </x:c>
      <x:c r="G16" s="245" t="str">
        <x:v>COMPLETE</x:v>
      </x:c>
      <x:c r="H16" s="246" t="str">
        <x:v>ATT-TH-EV-004,005</x:v>
      </x:c>
      <x:c r="I16" t="str">
        <x:v>SOLID_SPEC_ID</x:v>
      </x:c>
    </x:row>
    <x:row r="17">
      <x:c r="A17" s="244" t="str">
        <x:v>ATT-TH-W-013</x:v>
      </x:c>
      <x:c r="B17" s="245" t="str">
        <x:v>SER-LIX-SAMOSL</x:v>
      </x:c>
      <x:c r="C17" s="245" t="str">
        <x:v>WT-SL-AGE-SAGE-FS</x:v>
      </x:c>
      <x:c r="D17" s="245" t="str">
        <x:v>上げ下げ窓FS</x:v>
      </x:c>
      <x:c r="E17" s="245" t="str">
        <x:v>ALL_ACTIVE</x:v>
      </x:c>
      <x:c r="F17" s="245" t="str">
        <x:v>THERMOS_SEPARATE</x:v>
      </x:c>
      <x:c r="G17" s="245" t="str">
        <x:v>COMPLETE</x:v>
      </x:c>
      <x:c r="H17" s="246" t="str">
        <x:v>ATT-TH-EV-004,005</x:v>
      </x:c>
      <x:c r="I17" t="str">
        <x:v>SOLID_SPEC_ID</x:v>
      </x:c>
    </x:row>
    <x:row r="18">
      <x:c r="A18" s="244" t="str">
        <x:v>ATT-TH-W-014</x:v>
      </x:c>
      <x:c r="B18" s="245" t="str">
        <x:v>SER-LIX-SAMOSL</x:v>
      </x:c>
      <x:c r="C18" s="245" t="str">
        <x:v>WT-SL-MENKOSHI-AGE-FS</x:v>
      </x:c>
      <x:c r="D18" s="245" t="str">
        <x:v>面格子付上げ下げ窓FS</x:v>
      </x:c>
      <x:c r="E18" s="245" t="str">
        <x:v>ALL_ACTIVE</x:v>
      </x:c>
      <x:c r="F18" s="245" t="str">
        <x:v>THERMOS_SEPARATE</x:v>
      </x:c>
      <x:c r="G18" s="245" t="str">
        <x:v>COMPLETE</x:v>
      </x:c>
      <x:c r="H18" s="246" t="str">
        <x:v>ATT-TH-EV-004,005</x:v>
      </x:c>
      <x:c r="I18" t="str">
        <x:v>SOLID_SPEC_ID</x:v>
      </x:c>
    </x:row>
    <x:row r="19">
      <x:c r="A19" s="244" t="str">
        <x:v>ATT-TH-W-015</x:v>
      </x:c>
      <x:c r="B19" s="245" t="str">
        <x:v>SER-LIX-SAMOSL</x:v>
      </x:c>
      <x:c r="C19" s="245" t="str">
        <x:v>WT-SL-FIX-OUT</x:v>
      </x:c>
      <x:c r="D19" s="245" t="str">
        <x:v>FIX窓（外押縁タイプ）</x:v>
      </x:c>
      <x:c r="E19" s="245" t="str">
        <x:v>ALL_ACTIVE</x:v>
      </x:c>
      <x:c r="F19" s="245" t="str">
        <x:v>THERMOS_SEPARATE</x:v>
      </x:c>
      <x:c r="G19" s="245" t="str">
        <x:v>COMPLETE</x:v>
      </x:c>
      <x:c r="H19" s="246" t="str">
        <x:v>ATT-TH-EV-004,005</x:v>
      </x:c>
      <x:c r="I19" t="str">
        <x:v>SOLID_SPEC_ID</x:v>
      </x:c>
    </x:row>
    <x:row r="20">
      <x:c r="A20" s="244" t="str">
        <x:v>ATT-TH-W-016</x:v>
      </x:c>
      <x:c r="B20" s="245" t="str">
        <x:v>SER-LIX-SAMOSL</x:v>
      </x:c>
      <x:c r="C20" s="245" t="str">
        <x:v>WT-SL-FIX-IN</x:v>
      </x:c>
      <x:c r="D20" s="245" t="str">
        <x:v>FIX窓（内押縁タイプ）</x:v>
      </x:c>
      <x:c r="E20" s="245" t="str">
        <x:v>ALL_ACTIVE</x:v>
      </x:c>
      <x:c r="F20" s="245" t="str">
        <x:v>THERMOS_SEPARATE</x:v>
      </x:c>
      <x:c r="G20" s="245" t="str">
        <x:v>COMPLETE</x:v>
      </x:c>
      <x:c r="H20" s="246" t="str">
        <x:v>ATT-TH-EV-004,005</x:v>
      </x:c>
      <x:c r="I20" t="str">
        <x:v>SOLID_SPEC_ID</x:v>
      </x:c>
    </x:row>
    <x:row r="21">
      <x:c r="A21" s="244" t="str">
        <x:v>ATT-TH-W-017</x:v>
      </x:c>
      <x:c r="B21" s="245" t="str">
        <x:v>SER-LIX-SAMOSL</x:v>
      </x:c>
      <x:c r="C21" s="245" t="str">
        <x:v>WT-SL-UCHIDAOSHI</x:v>
      </x:c>
      <x:c r="D21" s="245" t="str">
        <x:v>内倒し窓</x:v>
      </x:c>
      <x:c r="E21" s="245" t="str">
        <x:v>ALL_ACTIVE</x:v>
      </x:c>
      <x:c r="F21" s="245" t="str">
        <x:v>THERMOS_SEPARATE</x:v>
      </x:c>
      <x:c r="G21" s="245" t="str">
        <x:v>COMPLETE</x:v>
      </x:c>
      <x:c r="H21" s="246" t="str">
        <x:v>ATT-TH-EV-004,005</x:v>
      </x:c>
      <x:c r="I21" t="str">
        <x:v>SOLID_SPEC_ID</x:v>
      </x:c>
    </x:row>
    <x:row r="22">
      <x:c r="A22" s="244" t="str">
        <x:v>ATT-TH-W-018</x:v>
      </x:c>
      <x:c r="B22" s="245" t="str">
        <x:v>SER-LIX-SAMOSL</x:v>
      </x:c>
      <x:c r="C22" s="245" t="str">
        <x:v>WT-SL-SOTODAOSHI</x:v>
      </x:c>
      <x:c r="D22" s="245" t="str">
        <x:v>外倒し窓</x:v>
      </x:c>
      <x:c r="E22" s="245" t="str">
        <x:v>SP-SL-OUTWARD-E / SP-SL-OUTWARD-EE</x:v>
      </x:c>
      <x:c r="F22" s="245" t="str">
        <x:v>THERMOS_SEPARATE</x:v>
      </x:c>
      <x:c r="G22" s="245" t="str">
        <x:v>COMPLETE</x:v>
      </x:c>
      <x:c r="H22" s="246" t="str">
        <x:v>ATT-TH-EV-004,005</x:v>
      </x:c>
      <x:c r="I22" t="str">
        <x:v>SOLID_SPEC_ID</x:v>
      </x:c>
    </x:row>
    <x:row r="23">
      <x:c r="A23" s="244" t="str">
        <x:v>ATT-TH-W-A01</x:v>
      </x:c>
      <x:c r="B23" s="245" t="str">
        <x:v>SER-LIX-SAMOSA</x:v>
      </x:c>
      <x:c r="C23" s="245" t="str">
        <x:v>WT-SA-TATE-SUBERI</x:v>
      </x:c>
      <x:c r="D23" s="245" t="str">
        <x:v>サーモスA 縦すべり出し窓（カムラッチ）</x:v>
      </x:c>
      <x:c r="E23" s="245" t="str">
        <x:v>configuration_type=T; handle_type=cam_latch / RULE-SA-TATE-001,002</x:v>
      </x:c>
      <x:c r="F23" s="245" t="str">
        <x:v>THERMOS_SEPARATE</x:v>
      </x:c>
      <x:c r="G23" s="245" t="str">
        <x:v>COMPLETE</x:v>
      </x:c>
      <x:c r="H23" s="246" t="str">
        <x:v>ATT-TH-EV-004,016,017</x:v>
      </x:c>
      <x:c r="I23" t="str">
        <x:v>CANONICAL_FIELD_RULE</x:v>
      </x:c>
    </x:row>
    <x:row r="24">
      <x:c r="A24" s="244" t="str">
        <x:v>ATT-TH-W-A02</x:v>
      </x:c>
      <x:c r="B24" s="245" t="str">
        <x:v>SER-LIX-SAMOSA</x:v>
      </x:c>
      <x:c r="C24" s="245" t="str">
        <x:v>WT-SA-YOKO-SUBERI</x:v>
      </x:c>
      <x:c r="D24" s="245" t="str">
        <x:v>サーモスA 横すべり出し窓（カムラッチ）</x:v>
      </x:c>
      <x:c r="E24" s="245" t="str">
        <x:v>handle_type=cam_latch / RULE-SA-YOKO-001</x:v>
      </x:c>
      <x:c r="F24" s="245" t="str">
        <x:v>THERMOS_SEPARATE</x:v>
      </x:c>
      <x:c r="G24" s="245" t="str">
        <x:v>COMPLETE</x:v>
      </x:c>
      <x:c r="H24" s="246" t="str">
        <x:v>ATT-TH-EV-004,016,017</x:v>
      </x:c>
      <x:c r="I24" t="str">
        <x:v>CANONICAL_FIELD_RULE</x:v>
      </x:c>
    </x:row>
    <x:row r="25">
      <x:c r="A25" s="244" t="str">
        <x:v>ATT-TH-W-A03</x:v>
      </x:c>
      <x:c r="B25" s="245" t="str">
        <x:v>SER-LIX-SAMOSA</x:v>
      </x:c>
      <x:c r="C25" s="245" t="str">
        <x:v>WT-SA-KOSHO-YOKO</x:v>
      </x:c>
      <x:c r="D25" s="245" t="str">
        <x:v>サーモスA 高所用横すべり出し窓</x:v>
      </x:c>
      <x:c r="E25" s="245" t="str">
        <x:v>operation_method per BUNDLE-SA-KOSHO-YOKO</x:v>
      </x:c>
      <x:c r="F25" s="245" t="str">
        <x:v>THERMOS_SEPARATE</x:v>
      </x:c>
      <x:c r="G25" s="245" t="str">
        <x:v>COMPLETE</x:v>
      </x:c>
      <x:c r="H25" s="246" t="str">
        <x:v>ATT-TH-EV-004,016,017</x:v>
      </x:c>
      <x:c r="I25" t="str">
        <x:v>CANONICAL_FIELD_RULE</x:v>
      </x:c>
    </x:row>
    <x:row r="26">
      <x:c r="A26" s="244" t="str">
        <x:v>ATT-TH-W-A04</x:v>
      </x:c>
      <x:c r="B26" s="245" t="str">
        <x:v>SER-LIX-SAMOSA</x:v>
      </x:c>
      <x:c r="C26" s="245" t="str">
        <x:v>WT-SA-FIX-IN</x:v>
      </x:c>
      <x:c r="D26" s="245" t="str">
        <x:v>サーモスA FIX窓（内押縁タイプ）</x:v>
      </x:c>
      <x:c r="E26" s="245" t="str">
        <x:v>handle/operation/screen=NOT_APPLICABLE per SAMOSA rules</x:v>
      </x:c>
      <x:c r="F26" s="245" t="str">
        <x:v>THERMOS_SEPARATE</x:v>
      </x:c>
      <x:c r="G26" s="245" t="str">
        <x:v>COMPLETE</x:v>
      </x:c>
      <x:c r="H26" s="246" t="str">
        <x:v>ATT-TH-EV-004,016,017</x:v>
      </x:c>
      <x:c r="I26" t="str">
        <x:v>CANONICAL_FIELD_RULE</x:v>
      </x:c>
    </x:row>
    <x:row r="27">
      <x:c r="A27" s="244" t="str">
        <x:v>ATT-TH-W-A05</x:v>
      </x:c>
      <x:c r="B27" s="245" t="str">
        <x:v>SER-LIX-SAMOSA</x:v>
      </x:c>
      <x:c r="C27" s="245" t="str">
        <x:v>WT-SA-UCHIDAOSHI</x:v>
      </x:c>
      <x:c r="D27" s="245" t="str">
        <x:v>サーモスA 内倒し窓</x:v>
      </x:c>
      <x:c r="E27" s="245" t="str">
        <x:v>screen_type=fixed_screen_inner_tilt per SAMOSA presentation rule</x:v>
      </x:c>
      <x:c r="F27" s="245" t="str">
        <x:v>THERMOS_SEPARATE</x:v>
      </x:c>
      <x:c r="G27" s="245" t="str">
        <x:v>COMPLETE</x:v>
      </x:c>
      <x:c r="H27" s="246" t="str">
        <x:v>ATT-TH-EV-004,016,017</x:v>
      </x:c>
      <x:c r="I27" t="str">
        <x:v>CANONICAL_FIELD_RULE</x:v>
      </x:c>
    </x:row>
    <x:row r="28">
      <x:c r="A28" s="247" t="str">
        <x:v>ATT-TH-W-A06</x:v>
      </x:c>
      <x:c r="B28" s="248" t="str">
        <x:v>SER-LIX-SAMOSA</x:v>
      </x:c>
      <x:c r="C28" s="248" t="str">
        <x:v>WT-SA-SOTODAOSHI</x:v>
      </x:c>
      <x:c r="D28" s="248" t="str">
        <x:v>サーモスA 外倒し窓</x:v>
      </x:c>
      <x:c r="E28" s="248" t="str">
        <x:v>opening_angle per SAMOSA master; screen=NOT_APPLICABLE</x:v>
      </x:c>
      <x:c r="F28" s="248" t="str">
        <x:v>THERMOS_SEPARATE</x:v>
      </x:c>
      <x:c r="G28" s="248" t="str">
        <x:v>COMPLETE</x:v>
      </x:c>
      <x:c r="H28" s="249" t="str">
        <x:v>ATT-TH-EV-004,016,017</x:v>
      </x:c>
      <x:c r="I28" t="str">
        <x:v>CANONICAL_FIELD_RULE</x:v>
      </x:c>
    </x:row>
  </x:sheetData>
  <x:mergeCells>
    <x:mergeCell ref="A1:H1"/>
    <x:mergeCell ref="A2:H2"/>
    <x:mergeCell ref="A2:I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0" hidden="0" customWidth="1"/>
    <x:col min="4" max="4" width="26" hidden="0" customWidth="1"/>
    <x:col min="5" max="5" width="84" hidden="0" customWidth="1"/>
    <x:col min="6" max="6" width="32" hidden="0" customWidth="1"/>
    <x:col min="7" max="7" width="18" hidden="0" customWidth="1"/>
    <x:col min="8" max="8" width="24" hidden="0" customWidth="1"/>
  </x:cols>
  <x:sheetData>
    <x:row r="1">
      <x:c r="A1" s="236" t="str">
        <x:v>03D_サーモス参照制限｜非対応品種と純正連段部材</x:v>
      </x:c>
      <x:c r="B1" s="236"/>
      <x:c r="C1" s="236"/>
      <x:c r="D1" s="236"/>
      <x:c r="E1" s="236"/>
      <x:c r="F1" s="236"/>
      <x:c r="G1" s="236"/>
      <x:c r="H1" s="236"/>
    </x:row>
    <x:row r="3">
      <x:c r="A3" s="241" t="str">
        <x:v>rule_id</x:v>
      </x:c>
      <x:c r="B3" s="242" t="str">
        <x:v>series_scope</x:v>
      </x:c>
      <x:c r="C3" s="242" t="str">
        <x:v>対象</x:v>
      </x:c>
      <x:c r="D3" s="242" t="str">
        <x:v>result</x:v>
      </x:c>
      <x:c r="E3" s="242" t="str">
        <x:v>reason</x:v>
      </x:c>
      <x:c r="F3" s="242" t="str">
        <x:v>ui_action</x:v>
      </x:c>
      <x:c r="G3" s="242" t="str">
        <x:v>status</x:v>
      </x:c>
      <x:c r="H3" s="243" t="str">
        <x:v>evidence</x:v>
      </x:c>
    </x:row>
    <x:row r="4">
      <x:c r="A4" s="244" t="str">
        <x:v>ATT-TH-R-001</x:v>
      </x:c>
      <x:c r="B4" s="245" t="str">
        <x:v>ALL</x:v>
      </x:c>
      <x:c r="C4" s="245" t="str">
        <x:v>単体/シャッター/雨戸/面格子付引違い窓</x:v>
      </x:c>
      <x:c r="D4" s="245" t="str">
        <x:v>UNAVAILABLE</x:v>
      </x:c>
      <x:c r="E4" s="245" t="str">
        <x:v>公式p203で設定無</x:v>
      </x:c>
      <x:c r="F4" s="245" t="str">
        <x:v>HIDE</x:v>
      </x:c>
      <x:c r="G4" s="245" t="str">
        <x:v>COMPLETE</x:v>
      </x:c>
      <x:c r="H4" s="246" t="str">
        <x:v>ATT-TH-EV-004</x:v>
      </x:c>
    </x:row>
    <x:row r="5">
      <x:c r="A5" s="244" t="str">
        <x:v>ATT-TH-R-002</x:v>
      </x:c>
      <x:c r="B5" s="245" t="str">
        <x:v>S2H/L</x:v>
      </x:c>
      <x:c r="C5" s="245" t="str">
        <x:v>装飾引違い窓 / HK/HKK</x:v>
      </x:c>
      <x:c r="D5" s="245" t="str">
        <x:v>UNAVAILABLE</x:v>
      </x:c>
      <x:c r="E5" s="245" t="str">
        <x:v>公式p203で設定無</x:v>
      </x:c>
      <x:c r="F5" s="245" t="str">
        <x:v>HIDE</x:v>
      </x:c>
      <x:c r="G5" s="245" t="str">
        <x:v>COMPLETE</x:v>
      </x:c>
      <x:c r="H5" s="246" t="str">
        <x:v>ATT-TH-EV-004</x:v>
      </x:c>
    </x:row>
    <x:row r="6">
      <x:c r="A6" s="244" t="str">
        <x:v>ATT-TH-R-003</x:v>
      </x:c>
      <x:c r="B6" s="245" t="str">
        <x:v>SER-LIX-SAMOSA</x:v>
      </x:c>
      <x:c r="C6" s="245" t="str">
        <x:v>縦すべり出し窓オペレーター</x:v>
      </x:c>
      <x:c r="D6" s="245" t="str">
        <x:v>UNAVAILABLE</x:v>
      </x:c>
      <x:c r="E6" s="245" t="str">
        <x:v>公式p203で設定無</x:v>
      </x:c>
      <x:c r="F6" s="245" t="str">
        <x:v>HIDE</x:v>
      </x:c>
      <x:c r="G6" s="245" t="str">
        <x:v>COMPLETE</x:v>
      </x:c>
      <x:c r="H6" s="246" t="str">
        <x:v>ATT-TH-EV-004,016,017</x:v>
      </x:c>
    </x:row>
    <x:row r="7">
      <x:c r="A7" s="244" t="str">
        <x:v>ATT-TH-R-004</x:v>
      </x:c>
      <x:c r="B7" s="245" t="str">
        <x:v>SER-LIX-SAMOSA</x:v>
      </x:c>
      <x:c r="C7" s="245" t="str">
        <x:v>縦すべり出し窓カムラッチTF/TFT</x:v>
      </x:c>
      <x:c r="D7" s="245" t="str">
        <x:v>UNAVAILABLE</x:v>
      </x:c>
      <x:c r="E7" s="245" t="str">
        <x:v>公式p203で設定無</x:v>
      </x:c>
      <x:c r="F7" s="245" t="str">
        <x:v>HIDE</x:v>
      </x:c>
      <x:c r="G7" s="245" t="str">
        <x:v>COMPLETE</x:v>
      </x:c>
      <x:c r="H7" s="246" t="str">
        <x:v>ATT-TH-EV-004,016,017</x:v>
      </x:c>
    </x:row>
    <x:row r="8">
      <x:c r="A8" s="244" t="str">
        <x:v>ATT-TH-R-005</x:v>
      </x:c>
      <x:c r="B8" s="245" t="str">
        <x:v>SER-LIX-SAMOSA</x:v>
      </x:c>
      <x:c r="C8" s="245" t="str">
        <x:v>横すべり出し窓オペレーター</x:v>
      </x:c>
      <x:c r="D8" s="245" t="str">
        <x:v>UNAVAILABLE</x:v>
      </x:c>
      <x:c r="E8" s="245" t="str">
        <x:v>公式p203で設定無</x:v>
      </x:c>
      <x:c r="F8" s="245" t="str">
        <x:v>HIDE</x:v>
      </x:c>
      <x:c r="G8" s="245" t="str">
        <x:v>COMPLETE</x:v>
      </x:c>
      <x:c r="H8" s="246" t="str">
        <x:v>ATT-TH-EV-004,016,017</x:v>
      </x:c>
    </x:row>
    <x:row r="9">
      <x:c r="A9" s="244" t="str">
        <x:v>ATT-TH-R-006</x:v>
      </x:c>
      <x:c r="B9" s="245" t="str">
        <x:v>SER-LIX-SAMOSA</x:v>
      </x:c>
      <x:c r="C9" s="245" t="str">
        <x:v>上げ下げ窓FS/面格子付上げ下げ窓FS/FIX外押縁</x:v>
      </x:c>
      <x:c r="D9" s="245" t="str">
        <x:v>UNAVAILABLE</x:v>
      </x:c>
      <x:c r="E9" s="245" t="str">
        <x:v>公式p203で設定無</x:v>
      </x:c>
      <x:c r="F9" s="245" t="str">
        <x:v>HIDE</x:v>
      </x:c>
      <x:c r="G9" s="245" t="str">
        <x:v>COMPLETE</x:v>
      </x:c>
      <x:c r="H9" s="246" t="str">
        <x:v>ATT-TH-EV-004,016,017</x:v>
      </x:c>
    </x:row>
    <x:row r="10">
      <x:c r="A10" s="244" t="str">
        <x:v>ATT-TH-R-007</x:v>
      </x:c>
      <x:c r="B10" s="245" t="str">
        <x:v>ALL</x:v>
      </x:c>
      <x:c r="C10" s="245" t="str">
        <x:v>サーモス純正 連窓方立（装飾窓用）</x:v>
      </x:c>
      <x:c r="D10" s="245" t="str">
        <x:v>UNAVAILABLE</x:v>
      </x:c>
      <x:c r="E10" s="245" t="str">
        <x:v>公式p89/p203：純正方立は使用不可。リプラス専用連窓方立を使用</x:v>
      </x:c>
      <x:c r="F10" s="245" t="str">
        <x:v>HIDE_REFERENCED_PART</x:v>
      </x:c>
      <x:c r="G10" s="245" t="str">
        <x:v>COMPLETE</x:v>
      </x:c>
      <x:c r="H10" s="246" t="str">
        <x:v>ATT-TH-EV-004,012</x:v>
      </x:c>
    </x:row>
    <x:row r="11">
      <x:c r="A11" s="244" t="str">
        <x:v>ATT-TH-R-008</x:v>
      </x:c>
      <x:c r="B11" s="245" t="str">
        <x:v>ALL</x:v>
      </x:c>
      <x:c r="C11" s="245" t="str">
        <x:v>サーモス純正 段窓無目</x:v>
      </x:c>
      <x:c r="D11" s="245" t="str">
        <x:v>UNAVAILABLE</x:v>
      </x:c>
      <x:c r="E11" s="245" t="str">
        <x:v>公式p89/p203：純正無目は使用不可。リプラス専用段窓無目を使用</x:v>
      </x:c>
      <x:c r="F11" s="245" t="str">
        <x:v>HIDE_REFERENCED_PART</x:v>
      </x:c>
      <x:c r="G11" s="245" t="str">
        <x:v>COMPLETE</x:v>
      </x:c>
      <x:c r="H11" s="246" t="str">
        <x:v>ATT-TH-EV-004,012</x:v>
      </x:c>
    </x:row>
    <x:row r="12">
      <x:c r="A12" s="244" t="str">
        <x:v>ATT-TH-R-009</x:v>
      </x:c>
      <x:c r="B12" s="245" t="str">
        <x:v>ALL</x:v>
      </x:c>
      <x:c r="C12" s="245" t="str">
        <x:v>防火戸FG-H/L/A</x:v>
      </x:c>
      <x:c r="D12" s="245" t="str">
        <x:v>UNAVAILABLE</x:v>
      </x:c>
      <x:c r="E12" s="245" t="str">
        <x:v>別商品体系</x:v>
      </x:c>
      <x:c r="F12" s="245" t="str">
        <x:v>HIDE</x:v>
      </x:c>
      <x:c r="G12" s="245" t="str">
        <x:v>COMPLETE</x:v>
      </x:c>
      <x:c r="H12" s="246" t="str">
        <x:v>ATT-TH-EV-001</x:v>
      </x:c>
    </x:row>
    <x:row r="13">
      <x:c r="A13" s="247" t="str">
        <x:v>ATT-TH-R-010</x:v>
      </x:c>
      <x:c r="B13" s="248" t="str">
        <x:v>ALL</x:v>
      </x:c>
      <x:c r="C13" s="248" t="str">
        <x:v>浴室用途</x:v>
      </x:c>
      <x:c r="D13" s="248" t="str">
        <x:v>UNAVAILABLE</x:v>
      </x:c>
      <x:c r="E13" s="248" t="str">
        <x:v>公式p36：浴室には使用不可</x:v>
      </x:c>
      <x:c r="F13" s="248" t="str">
        <x:v>HIDE/REJECT</x:v>
      </x:c>
      <x:c r="G13" s="248" t="str">
        <x:v>COMPLETE</x:v>
      </x:c>
      <x:c r="H13" s="249" t="str">
        <x:v>ATT-TH-EV-002</x:v>
      </x:c>
    </x:row>
  </x:sheetData>
  <x:mergeCells>
    <x:mergeCell ref="A1:G1"/>
    <x:mergeCell ref="A1:H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36" hidden="0" customWidth="1"/>
    <x:col min="5" max="5" width="28" hidden="0" customWidth="1"/>
    <x:col min="6" max="6" width="18" hidden="0" customWidth="1"/>
    <x:col min="7" max="7" width="18" hidden="0" customWidth="1"/>
    <x:col min="8" max="8" width="24" hidden="0" customWidth="1"/>
  </x:cols>
  <x:sheetData>
    <x:row r="1">
      <x:c r="A1" s="236" t="str">
        <x:v>05C_寸法変換｜採寸 → アタッチ枠 → サーモス正本</x:v>
      </x:c>
      <x:c r="B1" s="236"/>
      <x:c r="C1" s="236"/>
      <x:c r="D1" s="236"/>
      <x:c r="E1" s="236"/>
      <x:c r="F1" s="236"/>
      <x:c r="G1" s="236"/>
      <x:c r="H1" s="236"/>
    </x:row>
    <x:row r="2" ht="42" customHeight="1">
      <x:c r="A2" s="237" t="str">
        <x:v>ATT-TWとの最大差分は新設サッシH：TW用=HS-50、サーモス用=HS-39。</x:v>
      </x:c>
      <x:c r="B2" s="237"/>
      <x:c r="C2" s="237"/>
      <x:c r="D2" s="237"/>
      <x:c r="E2" s="237"/>
      <x:c r="F2" s="237"/>
      <x:c r="G2" s="237"/>
      <x:c r="H2" s="237"/>
    </x:row>
    <x:row r="3">
      <x:c r="A3" s="181"/>
      <x:c r="B3" s="182"/>
      <x:c r="C3" s="182"/>
      <x:c r="D3" s="182"/>
      <x:c r="E3" s="182"/>
      <x:c r="F3" s="182"/>
      <x:c r="G3" s="182"/>
      <x:c r="H3" s="183"/>
    </x:row>
    <x:row r="4">
      <x:c r="A4" s="270" t="str">
        <x:v>formula_id</x:v>
      </x:c>
      <x:c r="B4" s="271" t="str">
        <x:v>input</x:v>
      </x:c>
      <x:c r="C4" s="271" t="str">
        <x:v>output</x:v>
      </x:c>
      <x:c r="D4" s="271" t="str">
        <x:v>official_formula</x:v>
      </x:c>
      <x:c r="E4" s="271" t="str">
        <x:v>scope</x:v>
      </x:c>
      <x:c r="F4" s="271" t="str">
        <x:v>auto_mode</x:v>
      </x:c>
      <x:c r="G4" s="271" t="str">
        <x:v>status</x:v>
      </x:c>
      <x:c r="H4" s="276" t="str">
        <x:v>evidence</x:v>
      </x:c>
    </x:row>
    <x:row r="5">
      <x:c r="A5" s="244" t="str">
        <x:v>ATT-TH-F-WD</x:v>
      </x:c>
      <x:c r="B5" s="245" t="str">
        <x:v>survey_w (WS)</x:v>
      </x:c>
      <x:c r="C5" s="245" t="str">
        <x:v>attachment_finished_w (WD)</x:v>
      </x:c>
      <x:c r="D5" s="245" t="str">
        <x:v>WD = WS - 10</x:v>
      </x:c>
      <x:c r="E5" s="245" t="str">
        <x:v>ATT-TH</x:v>
      </x:c>
      <x:c r="F5" s="245" t="str">
        <x:v>AUTO</x:v>
      </x:c>
      <x:c r="G5" s="245" t="str">
        <x:v>COMPLETE</x:v>
      </x:c>
      <x:c r="H5" s="246" t="str">
        <x:v>ATT-TH-EV-007</x:v>
      </x:c>
    </x:row>
    <x:row r="6">
      <x:c r="A6" s="244" t="str">
        <x:v>ATT-TH-F-HD</x:v>
      </x:c>
      <x:c r="B6" s="245" t="str">
        <x:v>survey_h (HS)</x:v>
      </x:c>
      <x:c r="C6" s="245" t="str">
        <x:v>attachment_finished_h (HD)</x:v>
      </x:c>
      <x:c r="D6" s="245" t="str">
        <x:v>HD = HS - 10</x:v>
      </x:c>
      <x:c r="E6" s="245" t="str">
        <x:v>ATT-TH</x:v>
      </x:c>
      <x:c r="F6" s="245" t="str">
        <x:v>AUTO</x:v>
      </x:c>
      <x:c r="G6" s="245" t="str">
        <x:v>COMPLETE</x:v>
      </x:c>
      <x:c r="H6" s="246" t="str">
        <x:v>ATT-TH-EV-007</x:v>
      </x:c>
    </x:row>
    <x:row r="7">
      <x:c r="A7" s="244" t="str">
        <x:v>ATT-TH-F-THW</x:v>
      </x:c>
      <x:c r="B7" s="245" t="str">
        <x:v>survey_w (WS)</x:v>
      </x:c>
      <x:c r="C7" s="245" t="str">
        <x:v>referenced_product_w</x:v>
      </x:c>
      <x:c r="D7" s="245" t="str">
        <x:v>Thermos_W = WS - 38</x:v>
      </x:c>
      <x:c r="E7" s="245" t="str">
        <x:v>S2H/L/A</x:v>
      </x:c>
      <x:c r="F7" s="245" t="str">
        <x:v>AUTO</x:v>
      </x:c>
      <x:c r="G7" s="245" t="str">
        <x:v>COMPLETE</x:v>
      </x:c>
      <x:c r="H7" s="246" t="str">
        <x:v>ATT-TH-EV-007</x:v>
      </x:c>
    </x:row>
    <x:row r="8">
      <x:c r="A8" s="247" t="str">
        <x:v>ATT-TH-F-THH</x:v>
      </x:c>
      <x:c r="B8" s="248" t="str">
        <x:v>survey_h (HS)</x:v>
      </x:c>
      <x:c r="C8" s="248" t="str">
        <x:v>referenced_product_h</x:v>
      </x:c>
      <x:c r="D8" s="248" t="str">
        <x:v>Thermos_H = HS - 39</x:v>
      </x:c>
      <x:c r="E8" s="248" t="str">
        <x:v>S2H/L/A</x:v>
      </x:c>
      <x:c r="F8" s="248" t="str">
        <x:v>AUTO</x:v>
      </x:c>
      <x:c r="G8" s="248" t="str">
        <x:v>COMPLETE</x:v>
      </x:c>
      <x:c r="H8" s="249" t="str">
        <x:v>ATT-TH-EV-007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70" hidden="0" customWidth="1"/>
    <x:col min="4" max="4" width="26" hidden="0" customWidth="1"/>
    <x:col min="5" max="5" width="88" hidden="0" customWidth="1"/>
    <x:col min="6" max="6" width="30" hidden="0" customWidth="1"/>
  </x:cols>
  <x:sheetData>
    <x:row r="1">
      <x:c r="A1" s="236" t="str">
        <x:v>12_共通参照｜ATT-TH</x:v>
      </x:c>
      <x:c r="B1" s="236"/>
      <x:c r="C1" s="236"/>
      <x:c r="D1" s="236"/>
      <x:c r="E1" s="236"/>
      <x:c r="F1" s="236"/>
    </x:row>
    <x:row r="3">
      <x:c r="A3" s="241" t="str">
        <x:v>shared_rule_id</x:v>
      </x:c>
      <x:c r="B3" s="242" t="str">
        <x:v>内容</x:v>
      </x:c>
      <x:c r="C3" s="242" t="str">
        <x:v>reference_url</x:v>
      </x:c>
      <x:c r="D3" s="242" t="str">
        <x:v>relation</x:v>
      </x:c>
      <x:c r="E3" s="242" t="str">
        <x:v>ATT-TH側の扱い</x:v>
      </x:c>
      <x:c r="F3" s="243" t="str">
        <x:v>status</x:v>
      </x:c>
    </x:row>
    <x:row r="4">
      <x:c r="A4" s="244" t="str">
        <x:v>REF-S2H-SSOT</x:v>
      </x:c>
      <x:c r="B4" s="245" t="str">
        <x:v>サーモスⅡ-H本体商品仕様</x:v>
      </x:c>
      <x:c r="C4" s="245" t="str">
        <x:v>https://docs.google.com/spreadsheets/d/1zHi-XsMqJp0MKH-sDoTcnTqkLMGcuRdo/edit</x:v>
      </x:c>
      <x:c r="D4" s="245" t="str">
        <x:v>SINGLE_SOURCE_OF_TRUTH</x:v>
      </x:c>
      <x:c r="E4" s="245" t="str">
        <x:v>窓種/固有仕様/サイズ/色/網戸/ガラス/本体OPを参照</x:v>
      </x:c>
      <x:c r="F4" s="246" t="str">
        <x:v>COMPLETE</x:v>
      </x:c>
    </x:row>
    <x:row r="5">
      <x:c r="A5" s="244" t="str">
        <x:v>REF-SL-SSOT</x:v>
      </x:c>
      <x:c r="B5" s="245" t="str">
        <x:v>サーモスL本体商品仕様</x:v>
      </x:c>
      <x:c r="C5" s="245" t="str">
        <x:v>https://docs.google.com/spreadsheets/d/17lVzBZ1hp4RVcGv0yNdnrKt25SFO2FhL/edit</x:v>
      </x:c>
      <x:c r="D5" s="245" t="str">
        <x:v>SINGLE_SOURCE_OF_TRUTH</x:v>
      </x:c>
      <x:c r="E5" s="245" t="str">
        <x:v>窓種/固有仕様/サイズ/色/網戸/ガラス/本体OPを参照</x:v>
      </x:c>
      <x:c r="F5" s="246" t="str">
        <x:v>COMPLETE</x:v>
      </x:c>
    </x:row>
    <x:row r="6">
      <x:c r="A6" s="244" t="str">
        <x:v>REF-SA-SSOT</x:v>
      </x:c>
      <x:c r="B6" s="245" t="str">
        <x:v>サーモスA本体商品仕様</x:v>
      </x:c>
      <x:c r="C6" s="245" t="str">
        <x:v>https://docs.google.com/spreadsheets/d/1cDEFzi0g1DzM5YoeGvZtHuXionD7tmFD/edit</x:v>
      </x:c>
      <x:c r="D6" s="245" t="str">
        <x:v>SINGLE_SOURCE_OF_TRUTH</x:v>
      </x:c>
      <x:c r="E6" s="245" t="str">
        <x:v>window_type / native rules / resolve_size / color / screen / glass / option を参照</x:v>
      </x:c>
      <x:c r="F6" s="246" t="str">
        <x:v>COMPLETE</x:v>
      </x:c>
    </x:row>
    <x:row r="7">
      <x:c r="A7" s="244" t="str">
        <x:v>SHARED-ATT-EXISTING-STRUCTURE</x:v>
      </x:c>
      <x:c r="B7" s="245" t="str">
        <x:v>ATT-TW/TH共通 既設窓・構造・現調基本</x:v>
      </x:c>
      <x:c r="C7" s="245" t="str">
        <x:v>https://docs.google.com/spreadsheets/d/18mtqC0LAcphRALtDlx_PMQlJuOHk1mBn/edit</x:v>
      </x:c>
      <x:c r="D7" s="245" t="str">
        <x:v>SHARED_RULE</x:v>
      </x:c>
      <x:c r="E7" s="245" t="str">
        <x:v>公式共通ページで同一項目のみ参照。ATT-TH固有値で上書き</x:v>
      </x:c>
      <x:c r="F7" s="246" t="str">
        <x:v>COMPLETE</x:v>
      </x:c>
    </x:row>
    <x:row r="8">
      <x:c r="A8" s="247" t="str">
        <x:v>SHARED-COMMON-SPEC</x:v>
      </x:c>
      <x:c r="B8" s="248" t="str">
        <x:v>サッシ商品マスター共通仕様</x:v>
      </x:c>
      <x:c r="C8" s="248" t="str">
        <x:v>https://docs.google.com/document/d/1MfixkbV1cZ__DtBknEKsix_nnrXQqjc-LZtXUHwJv_A/edit</x:v>
      </x:c>
      <x:c r="D8" s="248" t="str">
        <x:v>REFERENCE</x:v>
      </x:c>
      <x:c r="E8" s="248" t="str">
        <x:v>Evidence/UI/特殊案件方針</x:v>
      </x:c>
      <x:c r="F8" s="249" t="str">
        <x:v>COMPLETE</x:v>
      </x:c>
    </x:row>
    <x:row r="9">
      <x:c r="A9" s="187"/>
      <x:c r="B9" s="188"/>
      <x:c r="C9" s="188"/>
      <x:c r="D9" s="188"/>
      <x:c r="E9" s="188"/>
      <x:c r="F9" s="189"/>
    </x:row>
  </x:sheetData>
  <x:mergeCells>
    <x:mergeCell ref="A1:F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8" hidden="0" customWidth="1"/>
    <x:col min="5" max="5" width="14" hidden="0" customWidth="1"/>
    <x:col min="6" max="6" width="18" hidden="0" customWidth="1"/>
    <x:col min="7" max="7" width="32" hidden="0" customWidth="1"/>
    <x:col min="8" max="8" width="30" hidden="0" customWidth="1"/>
    <x:col min="9" max="9" width="24" hidden="0" customWidth="1"/>
  </x:cols>
  <x:sheetData>
    <x:row r="1">
      <x:c r="A1" s="236" t="str">
        <x:v>02D_対応シリーズ｜アタッチ枠（サーモス用）</x:v>
      </x:c>
      <x:c r="B1" s="236"/>
      <x:c r="C1" s="236"/>
      <x:c r="D1" s="236"/>
      <x:c r="E1" s="236"/>
      <x:c r="F1" s="236"/>
      <x:c r="G1" s="236"/>
      <x:c r="H1" s="236"/>
      <x:c r="I1" s="236"/>
    </x:row>
    <x:row r="3">
      <x:c r="A3" s="241" t="str">
        <x:v>rule_id</x:v>
      </x:c>
      <x:c r="B3" s="242" t="str">
        <x:v>attachment_system_id</x:v>
      </x:c>
      <x:c r="C3" s="242" t="str">
        <x:v>series_display</x:v>
      </x:c>
      <x:c r="D3" s="242" t="str">
        <x:v>referenced_series_id</x:v>
      </x:c>
      <x:c r="E3" s="242" t="str">
        <x:v>supported</x:v>
      </x:c>
      <x:c r="F3" s="242" t="str">
        <x:v>reference_ready</x:v>
      </x:c>
      <x:c r="G3" s="242" t="str">
        <x:v>ui_action</x:v>
      </x:c>
      <x:c r="H3" s="242" t="str">
        <x:v>status</x:v>
      </x:c>
      <x:c r="I3" s="243" t="str">
        <x:v>evidence</x:v>
      </x:c>
    </x:row>
    <x:row r="4">
      <x:c r="A4" s="244" t="str">
        <x:v>ATT-TH-SER-01</x:v>
      </x:c>
      <x:c r="B4" s="245" t="str">
        <x:v>RPL_ATT_TH</x:v>
      </x:c>
      <x:c r="C4" s="245" t="str">
        <x:v>サーモスⅡ-H</x:v>
      </x:c>
      <x:c r="D4" s="245" t="str">
        <x:v>SER-LIX-SAMOS2H</x:v>
      </x:c>
      <x:c r="E4" s="272" t="b">
        <x:v>1</x:v>
      </x:c>
      <x:c r="F4" s="272" t="b">
        <x:v>1</x:v>
      </x:c>
      <x:c r="G4" s="245" t="str">
        <x:v>SHOW</x:v>
      </x:c>
      <x:c r="H4" s="245" t="str">
        <x:v>COMPLETE</x:v>
      </x:c>
      <x:c r="I4" s="246" t="str">
        <x:v>ATT-TH-EV-002,003,004</x:v>
      </x:c>
    </x:row>
    <x:row r="5">
      <x:c r="A5" s="244" t="str">
        <x:v>ATT-TH-SER-02</x:v>
      </x:c>
      <x:c r="B5" s="245" t="str">
        <x:v>RPL_ATT_TH</x:v>
      </x:c>
      <x:c r="C5" s="245" t="str">
        <x:v>サーモスL</x:v>
      </x:c>
      <x:c r="D5" s="245" t="str">
        <x:v>SER-LIX-SAMOSL</x:v>
      </x:c>
      <x:c r="E5" s="272" t="b">
        <x:v>1</x:v>
      </x:c>
      <x:c r="F5" s="272" t="b">
        <x:v>1</x:v>
      </x:c>
      <x:c r="G5" s="245" t="str">
        <x:v>SHOW</x:v>
      </x:c>
      <x:c r="H5" s="245" t="str">
        <x:v>COMPLETE</x:v>
      </x:c>
      <x:c r="I5" s="246" t="str">
        <x:v>ATT-TH-EV-002,004,005</x:v>
      </x:c>
    </x:row>
    <x:row r="6">
      <x:c r="A6" s="247" t="str">
        <x:v>ATT-TH-SER-03</x:v>
      </x:c>
      <x:c r="B6" s="248" t="str">
        <x:v>RPL_ATT_TH</x:v>
      </x:c>
      <x:c r="C6" s="248" t="str">
        <x:v>サーモスA</x:v>
      </x:c>
      <x:c r="D6" s="248" t="str">
        <x:v>SER-LIX-SAMOSA</x:v>
      </x:c>
      <x:c r="E6" s="273" t="b">
        <x:v>1</x:v>
      </x:c>
      <x:c r="F6" s="273" t="b">
        <x:v>1</x:v>
      </x:c>
      <x:c r="G6" s="248" t="str">
        <x:v>SHOW</x:v>
      </x:c>
      <x:c r="H6" s="248" t="str">
        <x:v>COMPLETE</x:v>
      </x:c>
      <x:c r="I6" s="249" t="str">
        <x:v>ATT-TH-EV-002,004,016,017</x:v>
      </x:c>
    </x:row>
  </x:sheetData>
  <x:mergeCells>
    <x:mergeCell ref="A1:I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46" hidden="0" customWidth="1"/>
    <x:col min="4" max="4" width="20" hidden="0" customWidth="1"/>
    <x:col min="5" max="5" width="82" hidden="0" customWidth="1"/>
    <x:col min="6" max="6" width="28" hidden="0" customWidth="1"/>
  </x:cols>
  <x:sheetData>
    <x:row r="1">
      <x:c r="A1" s="236" t="str">
        <x:v>12A_ATT_TW比較｜アタッチ枠TW用 vs サーモス用</x:v>
      </x:c>
      <x:c r="B1" s="236"/>
      <x:c r="C1" s="236"/>
      <x:c r="D1" s="236"/>
      <x:c r="E1" s="236"/>
      <x:c r="F1" s="236"/>
    </x:row>
    <x:row r="3">
      <x:c r="A3" s="241" t="str">
        <x:v>項目</x:v>
      </x:c>
      <x:c r="B3" s="242" t="str">
        <x:v>ATT_TW</x:v>
      </x:c>
      <x:c r="C3" s="242" t="str">
        <x:v>ATT_TH</x:v>
      </x:c>
      <x:c r="D3" s="242" t="str">
        <x:v>判定</x:v>
      </x:c>
      <x:c r="E3" s="242" t="str">
        <x:v>ATT_TH rule / 差分</x:v>
      </x:c>
      <x:c r="F3" s="243" t="str">
        <x:v>Evidence</x:v>
      </x:c>
    </x:row>
    <x:row r="4">
      <x:c r="A4" s="244" t="str">
        <x:v>installation_system</x:v>
      </x:c>
      <x:c r="B4" s="245" t="str">
        <x:v>RPL_ATT_TW</x:v>
      </x:c>
      <x:c r="C4" s="245" t="str">
        <x:v>RPL_ATT_TH</x:v>
      </x:c>
      <x:c r="D4" s="245" t="str">
        <x:v>DIFFERENT</x:v>
      </x:c>
      <x:c r="E4" s="245" t="str">
        <x:v>独立installation_system</x:v>
      </x:c>
      <x:c r="F4" s="246" t="str">
        <x:v>ATT-TH-EV-001</x:v>
      </x:c>
    </x:row>
    <x:row r="5">
      <x:c r="A5" s="244" t="str">
        <x:v>参照商品</x:v>
      </x:c>
      <x:c r="B5" s="245" t="str">
        <x:v>TW</x:v>
      </x:c>
      <x:c r="C5" s="245" t="str">
        <x:v>サーモスⅡ-H/L/A</x:v>
      </x:c>
      <x:c r="D5" s="245" t="str">
        <x:v>DIFFERENT</x:v>
      </x:c>
      <x:c r="E5" s="245" t="str">
        <x:v>Ⅱ-H/L/Aの3シリーズすべて正本参照接続済み</x:v>
      </x:c>
      <x:c r="F5" s="246" t="str">
        <x:v>ATT-TH-EV-002～005,016,017</x:v>
      </x:c>
    </x:row>
    <x:row r="6">
      <x:c r="A6" s="244" t="str">
        <x:v>供給方式</x:v>
      </x:c>
      <x:c r="B6" s="245" t="str">
        <x:v>専用新設サッシ + TW別途手配</x:v>
      </x:c>
      <x:c r="C6" s="245" t="str">
        <x:v>サーモス別途手配のみ</x:v>
      </x:c>
      <x:c r="D6" s="245" t="str">
        <x:v>DIFFERENT</x:v>
      </x:c>
      <x:c r="E6" s="245" t="str">
        <x:v>釘打ちフィンカット＋連結ねじ必須</x:v>
      </x:c>
      <x:c r="F6" s="246" t="str">
        <x:v>ATT-TH-EV-004</x:v>
      </x:c>
    </x:row>
    <x:row r="7">
      <x:c r="A7" s="244" t="str">
        <x:v>アタッチ出来寸W/H</x:v>
      </x:c>
      <x:c r="B7" s="245" t="str">
        <x:v>WS-10 / HS-10</x:v>
      </x:c>
      <x:c r="C7" s="245" t="str">
        <x:v>WS-10 / HS-10</x:v>
      </x:c>
      <x:c r="D7" s="245" t="str">
        <x:v>SAME</x:v>
      </x:c>
      <x:c r="E7" s="245" t="str">
        <x:v>公式再確認済み</x:v>
      </x:c>
      <x:c r="F7" s="246" t="str">
        <x:v>ATT-TH-EV-007</x:v>
      </x:c>
    </x:row>
    <x:row r="8">
      <x:c r="A8" s="244" t="str">
        <x:v>新設サッシW</x:v>
      </x:c>
      <x:c r="B8" s="245" t="str">
        <x:v>WS-38</x:v>
      </x:c>
      <x:c r="C8" s="245" t="str">
        <x:v>WS-38</x:v>
      </x:c>
      <x:c r="D8" s="245" t="str">
        <x:v>SAME</x:v>
      </x:c>
      <x:c r="E8" s="245" t="str">
        <x:v>公式再確認済み</x:v>
      </x:c>
      <x:c r="F8" s="246" t="str">
        <x:v>ATT-TH-EV-007</x:v>
      </x:c>
    </x:row>
    <x:row r="9">
      <x:c r="A9" s="244" t="str">
        <x:v>新設サッシH</x:v>
      </x:c>
      <x:c r="B9" s="245" t="str">
        <x:v>HS-50</x:v>
      </x:c>
      <x:c r="C9" s="245" t="str">
        <x:v>HS-39</x:v>
      </x:c>
      <x:c r="D9" s="245" t="str">
        <x:v>DIFFERENT</x:v>
      </x:c>
      <x:c r="E9" s="245" t="str">
        <x:v>ATT-TH固有式</x:v>
      </x:c>
      <x:c r="F9" s="246" t="str">
        <x:v>ATT-TH-EV-007</x:v>
      </x:c>
    </x:row>
    <x:row r="10">
      <x:c r="A10" s="244" t="str">
        <x:v>既設枠見込み</x:v>
      </x:c>
      <x:c r="B10" s="245" t="str">
        <x:v>&lt;=100mm</x:v>
      </x:c>
      <x:c r="C10" s="245" t="str">
        <x:v>&lt;=90mm</x:v>
      </x:c>
      <x:c r="D10" s="245" t="str">
        <x:v>DIFFERENT</x:v>
      </x:c>
      <x:c r="E10" s="245" t="str">
        <x:v>ATT-THは90mm以下</x:v>
      </x:c>
      <x:c r="F10" s="246" t="str">
        <x:v>ATT-TH-EV-009</x:v>
      </x:c>
    </x:row>
    <x:row r="11">
      <x:c r="A11" s="244" t="str">
        <x:v>下枠補強金具</x:v>
      </x:c>
      <x:c r="B11" s="245" t="str">
        <x:v>29～48mm</x:v>
      </x:c>
      <x:c r="C11" s="245" t="str">
        <x:v>34～53mm</x:v>
      </x:c>
      <x:c r="D11" s="245" t="str">
        <x:v>DIFFERENT</x:v>
      </x:c>
      <x:c r="E11" s="245" t="str">
        <x:v>装飾窓W&lt;=800はATT-TH補強確認不要</x:v>
      </x:c>
      <x:c r="F11" s="246" t="str">
        <x:v>ATT-TH-EV-010</x:v>
      </x:c>
    </x:row>
    <x:row r="12">
      <x:c r="A12" s="244" t="str">
        <x:v>化粧カバー 上</x:v>
      </x:c>
      <x:c r="B12" s="245" t="str">
        <x:v>71.5/36.5/16.5</x:v>
      </x:c>
      <x:c r="C12" s="245" t="str">
        <x:v>71.5/36.5/16.5</x:v>
      </x:c>
      <x:c r="D12" s="245" t="str">
        <x:v>SAME</x:v>
      </x:c>
      <x:c r="E12" s="245" t="str">
        <x:v>大/中/小</x:v>
      </x:c>
      <x:c r="F12" s="246" t="str">
        <x:v>ATT-TH-EV-011</x:v>
      </x:c>
    </x:row>
    <x:row r="13">
      <x:c r="A13" s="244" t="str">
        <x:v>化粧カバー 下</x:v>
      </x:c>
      <x:c r="B13" s="245" t="str">
        <x:v>91/56/36</x:v>
      </x:c>
      <x:c r="C13" s="245" t="str">
        <x:v>96/61/41</x:v>
      </x:c>
      <x:c r="D13" s="245" t="str">
        <x:v>DIFFERENT</x:v>
      </x:c>
      <x:c r="E13" s="245" t="str">
        <x:v>ATT-THは各+5mm</x:v>
      </x:c>
      <x:c r="F13" s="246" t="str">
        <x:v>ATT-TH-EV-011</x:v>
      </x:c>
    </x:row>
    <x:row r="14">
      <x:c r="A14" s="244" t="str">
        <x:v>化粧カバー 縦</x:v>
      </x:c>
      <x:c r="B14" s="245" t="str">
        <x:v>34/34/9</x:v>
      </x:c>
      <x:c r="C14" s="245" t="str">
        <x:v>34/34/9</x:v>
      </x:c>
      <x:c r="D14" s="245" t="str">
        <x:v>SAME</x:v>
      </x:c>
      <x:c r="E14" s="245" t="str">
        <x:v>大/中/小</x:v>
      </x:c>
      <x:c r="F14" s="246" t="str">
        <x:v>ATT-TH-EV-011</x:v>
      </x:c>
    </x:row>
    <x:row r="15">
      <x:c r="A15" s="244" t="str">
        <x:v>既設雨戸/シャッター</x:v>
      </x:c>
      <x:c r="B15" s="245" t="str">
        <x:v>不可</x:v>
      </x:c>
      <x:c r="C15" s="245" t="str">
        <x:v>不可</x:v>
      </x:c>
      <x:c r="D15" s="245" t="str">
        <x:v>SAME</x:v>
      </x:c>
      <x:c r="E15" s="245" t="str">
        <x:v>公式共通ATT注記</x:v>
      </x:c>
      <x:c r="F15" s="246" t="str">
        <x:v>ATT-TH-EV-008</x:v>
      </x:c>
    </x:row>
    <x:row r="16">
      <x:c r="A16" s="244" t="str">
        <x:v>樹脂/木製既設</x:v>
      </x:c>
      <x:c r="B16" s="245" t="str">
        <x:v>不可</x:v>
      </x:c>
      <x:c r="C16" s="245" t="str">
        <x:v>不可</x:v>
      </x:c>
      <x:c r="D16" s="245" t="str">
        <x:v>SAME</x:v>
      </x:c>
      <x:c r="E16" s="245" t="str">
        <x:v>公式p36でATT-THも確認</x:v>
      </x:c>
      <x:c r="F16" s="246" t="str">
        <x:v>ATT-TH-EV-002</x:v>
      </x:c>
    </x:row>
    <x:row r="17">
      <x:c r="A17" s="244" t="str">
        <x:v>浴室</x:v>
      </x:c>
      <x:c r="B17" s="245" t="str">
        <x:v>不可</x:v>
      </x:c>
      <x:c r="C17" s="245" t="str">
        <x:v>不可</x:v>
      </x:c>
      <x:c r="D17" s="245" t="str">
        <x:v>SAME</x:v>
      </x:c>
      <x:c r="E17" s="245" t="str">
        <x:v>公式p36</x:v>
      </x:c>
      <x:c r="F17" s="246" t="str">
        <x:v>ATT-TH-EV-002</x:v>
      </x:c>
    </x:row>
    <x:row r="18">
      <x:c r="A18" s="244" t="str">
        <x:v>連窓方立/段窓無目</x:v>
      </x:c>
      <x:c r="B18" s="245" t="str">
        <x:v>リプラス専用品</x:v>
      </x:c>
      <x:c r="C18" s="245" t="str">
        <x:v>リプラス専用品</x:v>
      </x:c>
      <x:c r="D18" s="245" t="str">
        <x:v>SAME_CONCEPT</x:v>
      </x:c>
      <x:c r="E18" s="245" t="str">
        <x:v>参照商品純正部材は使用不可</x:v>
      </x:c>
      <x:c r="F18" s="246" t="str">
        <x:v>ATT-TH-EV-012</x:v>
      </x:c>
    </x:row>
    <x:row r="19">
      <x:c r="A19" s="247" t="str">
        <x:v>本体色/網戸/ガラス/OP</x:v>
      </x:c>
      <x:c r="B19" s="248" t="str">
        <x:v>TW正本</x:v>
      </x:c>
      <x:c r="C19" s="248" t="str">
        <x:v>各サーモス正本</x:v>
      </x:c>
      <x:c r="D19" s="248" t="str">
        <x:v>SAME_ARCH</x:v>
      </x:c>
      <x:c r="E19" s="248" t="str">
        <x:v>S2H/L/AすべてSSOT参照型。SAMOSAはnative canonical rulesを参照</x:v>
      </x:c>
      <x:c r="F19" s="249" t="str">
        <x:v>ATT-TH-EV-003,005,016</x:v>
      </x:c>
    </x:row>
  </x:sheetData>
  <x:mergeCells>
    <x:mergeCell ref="A1:F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8" hidden="0" customWidth="1"/>
    <x:col min="4" max="4" width="12" hidden="0" customWidth="1"/>
    <x:col min="5" max="5" width="24" hidden="0" customWidth="1"/>
    <x:col min="6" max="6" width="34" hidden="0" customWidth="1"/>
    <x:col min="7" max="7" width="28" hidden="0" customWidth="1"/>
    <x:col min="8" max="8" width="48" hidden="0" customWidth="1"/>
    <x:col min="9" max="9" width="62" hidden="0" customWidth="1"/>
    <x:col min="10" max="10" width="16" hidden="0" customWidth="1"/>
  </x:cols>
  <x:sheetData>
    <x:row r="1">
      <x:c r="A1" s="299" t="str">
        <x:v>13_参照整合性監査｜ATT-TH v1.1</x:v>
      </x:c>
      <x:c r="B1" s="299"/>
      <x:c r="C1" s="299"/>
      <x:c r="D1" s="299"/>
      <x:c r="E1" s="299"/>
      <x:c r="F1" s="299"/>
      <x:c r="G1" s="299"/>
      <x:c r="H1" s="299"/>
      <x:c r="I1" s="299"/>
      <x:c r="J1" s="299"/>
    </x:row>
    <x:row r="2">
      <x:c r="A2" s="301" t="str">
        <x:v>3シリーズのSSOT参照、公式対応subset、サイズ判定入口、仕様表現方式を最終監査。</x:v>
      </x:c>
      <x:c r="B2" s="301"/>
      <x:c r="C2" s="301"/>
      <x:c r="D2" s="301"/>
      <x:c r="E2" s="301"/>
      <x:c r="F2" s="301"/>
      <x:c r="G2" s="301"/>
      <x:c r="H2" s="301"/>
      <x:c r="I2" s="301"/>
      <x:c r="J2" s="301"/>
    </x:row>
    <x:row r="4">
      <x:c r="A4" s="304" t="str">
        <x:v>series</x:v>
      </x:c>
      <x:c r="B4" s="304" t="str">
        <x:v>referenced_series_id</x:v>
      </x:c>
      <x:c r="C4" s="304" t="str">
        <x:v>referenced_master_id</x:v>
      </x:c>
      <x:c r="D4" s="304" t="str">
        <x:v>version</x:v>
      </x:c>
      <x:c r="E4" s="304" t="str">
        <x:v>master_status</x:v>
      </x:c>
      <x:c r="F4" s="304" t="str">
        <x:v>ATT-TH supported reference</x:v>
      </x:c>
      <x:c r="G4" s="304" t="str">
        <x:v>spec_reference_mode</x:v>
      </x:c>
      <x:c r="H4" s="304" t="str">
        <x:v>size_validation_entry</x:v>
      </x:c>
      <x:c r="I4" s="304" t="str">
        <x:v>golden/reference proof</x:v>
      </x:c>
      <x:c r="J4" s="304" t="str">
        <x:v>result</x:v>
      </x:c>
    </x:row>
    <x:row r="5">
      <x:c r="A5" s="122" t="str">
        <x:v>サーモスⅡ-H</x:v>
      </x:c>
      <x:c r="B5" s="122" t="str">
        <x:v>SER-LIX-SAMOS2H</x:v>
      </x:c>
      <x:c r="C5" s="122" t="str">
        <x:v>1zHi-XsMqJp0MKH-sDoTcnTqkLMGcuRdo</x:v>
      </x:c>
      <x:c r="D5" s="122" t="str">
        <x:v>v0.7</x:v>
      </x:c>
      <x:c r="E5" s="122" t="str">
        <x:v>COMPLETE</x:v>
      </x:c>
      <x:c r="F5" s="122" t="str">
        <x:v>9 window families</x:v>
      </x:c>
      <x:c r="G5" s="122" t="str">
        <x:v>SOLID_SPEC_ID</x:v>
      </x:c>
      <x:c r="H5" s="122" t="str">
        <x:v>06_サイズ / existing canonical rules</x:v>
      </x:c>
      <x:c r="I5" s="122" t="str">
        <x:v>SZ-S2H-01629 640×570 active</x:v>
      </x:c>
      <x:c r="J5" s="305" t="str">
        <x:v>PASS</x:v>
      </x:c>
    </x:row>
    <x:row r="6">
      <x:c r="A6" s="122" t="str">
        <x:v>サーモスL</x:v>
      </x:c>
      <x:c r="B6" s="122" t="str">
        <x:v>SER-LIX-SAMOSL</x:v>
      </x:c>
      <x:c r="C6" s="122" t="str">
        <x:v>17lVzBZ1hp4RVcGv0yNdnrKt25SFO2FhL</x:v>
      </x:c>
      <x:c r="D6" s="122" t="str">
        <x:v>v0.7</x:v>
      </x:c>
      <x:c r="E6" s="122" t="str">
        <x:v>QA確定</x:v>
      </x:c>
      <x:c r="F6" s="122" t="str">
        <x:v>9 window families</x:v>
      </x:c>
      <x:c r="G6" s="122" t="str">
        <x:v>SOLID_SPEC_ID</x:v>
      </x:c>
      <x:c r="H6" s="122" t="str">
        <x:v>06_サイズ + 06C_特注寸法範囲</x:v>
      </x:c>
      <x:c r="I6" s="122" t="str">
        <x:v>SZ-SL-001542 405×370 active / GT-SL-009 boundary PASS</x:v>
      </x:c>
      <x:c r="J6" s="305" t="str">
        <x:v>PASS</x:v>
      </x:c>
    </x:row>
    <x:row r="7">
      <x:c r="A7" s="122" t="str">
        <x:v>サーモスA</x:v>
      </x:c>
      <x:c r="B7" s="122" t="str">
        <x:v>SER-LIX-SAMOSA</x:v>
      </x:c>
      <x:c r="C7" s="122" t="str">
        <x:v>1cDEFzi0g1DzM5YoeGvZtHuXionD7tmFD</x:v>
      </x:c>
      <x:c r="D7" s="122" t="str">
        <x:v>v0.7</x:v>
      </x:c>
      <x:c r="E7" s="122" t="str">
        <x:v>APP_READY / QA_PASS</x:v>
      </x:c>
      <x:c r="F7" s="122" t="str">
        <x:v>6 official ATT-TH window types</x:v>
      </x:c>
      <x:c r="G7" s="122" t="str">
        <x:v>CANONICAL_FIELD_RULE</x:v>
      </x:c>
      <x:c r="H7" s="122" t="str">
        <x:v>resolve_size(window,module,configuration,W,H) / Rule Bundle</x:v>
      </x:c>
      <x:c r="I7" s="122" t="str">
        <x:v>SIZE-SA-1044 405×370 AVAILABLE / GT-SA-016 PASS</x:v>
      </x:c>
      <x:c r="J7" s="305" t="str">
        <x:v>PASS</x:v>
      </x:c>
    </x:row>
  </x:sheetData>
  <x:mergeCells>
    <x:mergeCell ref="A1:J1"/>
    <x:mergeCell ref="A2:J2"/>
  </x:mergeCells>
  <x:pageMargins left="0.7" right="0.7" top="0.75" bottom="0.75" header="0.3" footer="0.3"/>
</x:worksheet>
</file>