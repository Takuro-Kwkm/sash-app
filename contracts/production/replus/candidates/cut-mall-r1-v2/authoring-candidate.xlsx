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a0d4512684b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0708728d6d0c4986"/>
    <x:sheet xmlns:r="http://schemas.openxmlformats.org/officeDocument/2006/relationships" name="00_README" sheetId="2" r:id="Rde31365b52574ef0"/>
    <x:sheet xmlns:r="http://schemas.openxmlformats.org/officeDocument/2006/relationships" name="01_入力フロー" sheetId="3" r:id="R29e1b5c6a7534800"/>
    <x:sheet xmlns:r="http://schemas.openxmlformats.org/officeDocument/2006/relationships" name="02_取替方式" sheetId="4" r:id="R82e85ee0b33b4a40"/>
    <x:sheet xmlns:r="http://schemas.openxmlformats.org/officeDocument/2006/relationships" name="02A_商品構造" sheetId="5" r:id="Rce5420a7bba34b1e"/>
    <x:sheet xmlns:r="http://schemas.openxmlformats.org/officeDocument/2006/relationships" name="02B_参照商品" sheetId="6" r:id="R06ad7d74e78241c6"/>
    <x:sheet xmlns:r="http://schemas.openxmlformats.org/officeDocument/2006/relationships" name="02C_供給方式" sheetId="7" r:id="R777ca7a8750a4439"/>
    <x:sheet xmlns:r="http://schemas.openxmlformats.org/officeDocument/2006/relationships" name="02D_対応シリーズ" sheetId="8" r:id="R14f8f0ff12704dfd"/>
    <x:sheet xmlns:r="http://schemas.openxmlformats.org/officeDocument/2006/relationships" name="03_対応窓種" sheetId="9" r:id="R481241dc352a4268"/>
    <x:sheet xmlns:r="http://schemas.openxmlformats.org/officeDocument/2006/relationships" name="04_窓種固有仕様" sheetId="10" r:id="R227a1a37891549ba"/>
    <x:sheet xmlns:r="http://schemas.openxmlformats.org/officeDocument/2006/relationships" name="05_サイズルール" sheetId="11" r:id="R75057521e2564894"/>
    <x:sheet xmlns:r="http://schemas.openxmlformats.org/officeDocument/2006/relationships" name="05B_カットモール寸法" sheetId="12" r:id="R7408764f97424674"/>
    <x:sheet xmlns:r="http://schemas.openxmlformats.org/officeDocument/2006/relationships" name="06_色" sheetId="13" r:id="Rc61abfc29c9d4167"/>
    <x:sheet xmlns:r="http://schemas.openxmlformats.org/officeDocument/2006/relationships" name="07_網戸参照" sheetId="14" r:id="R5f32253b09144605"/>
    <x:sheet xmlns:r="http://schemas.openxmlformats.org/officeDocument/2006/relationships" name="08_ガラス参照" sheetId="15" r:id="R789d969840014eb6"/>
    <x:sheet xmlns:r="http://schemas.openxmlformats.org/officeDocument/2006/relationships" name="09_施工部材" sheetId="16" r:id="Rca315a6568e64ebf"/>
    <x:sheet xmlns:r="http://schemas.openxmlformats.org/officeDocument/2006/relationships" name="09A_OP依存関係" sheetId="17" r:id="Rfb885f6ed2e44cb3"/>
    <x:sheet xmlns:r="http://schemas.openxmlformats.org/officeDocument/2006/relationships" name="10_適用条件" sheetId="18" r:id="R7585c203f01c4018"/>
    <x:sheet xmlns:r="http://schemas.openxmlformats.org/officeDocument/2006/relationships" name="10B_現調項目" sheetId="19" r:id="R8a08b6dc034141c9"/>
    <x:sheet xmlns:r="http://schemas.openxmlformats.org/officeDocument/2006/relationships" name="10C_施工スペース" sheetId="20" r:id="R93a56b34f43c4b1f"/>
    <x:sheet xmlns:r="http://schemas.openxmlformats.org/officeDocument/2006/relationships" name="10D_施工条件" sheetId="21" r:id="R479062e5ec7446b7"/>
    <x:sheet xmlns:r="http://schemas.openxmlformats.org/officeDocument/2006/relationships" name="11_見積入力テスト" sheetId="22" r:id="R581e98c140e345bd"/>
    <x:sheet xmlns:r="http://schemas.openxmlformats.org/officeDocument/2006/relationships" name="12_共通参照" sheetId="23" r:id="R4944e9caf22547ce"/>
    <x:sheet xmlns:r="http://schemas.openxmlformats.org/officeDocument/2006/relationships" name="12A_他取替方式比較" sheetId="24" r:id="R3b5bd9a260e942bd"/>
    <x:sheet xmlns:r="http://schemas.openxmlformats.org/officeDocument/2006/relationships" name="13_参照整合性監査" sheetId="25" r:id="Rf4dd35e1f1034c47"/>
    <x:sheet xmlns:r="http://schemas.openxmlformats.org/officeDocument/2006/relationships" name="90_Evidence" sheetId="26" r:id="R5a790da95e5546a3"/>
    <x:sheet xmlns:r="http://schemas.openxmlformats.org/officeDocument/2006/relationships" name="99_QA" sheetId="27" r:id="Rbd45c76c40aa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AF2F5"/>
      </x:patternFill>
    </x:fill>
    <x:fill>
      <x:patternFill patternType="solid">
        <x:fgColor rgb="FF2F6B7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d1f2481384dfa" /><Relationship Type="http://schemas.openxmlformats.org/officeDocument/2006/relationships/theme" Target="/xl/theme/theme1.xml" Id="R587c61304cb04536" /><Relationship Type="http://schemas.microsoft.com/office/2022/11/relationships/FeaturePropertyBag" Target="/xl/featurePropertyBag/featurePropertyBag.xml" Id="R9ffcb6d6e0ff482d" /><Relationship Type="http://schemas.openxmlformats.org/officeDocument/2006/relationships/sharedStrings" Target="/xl/sharedStrings.xml" Id="R3598ba9d3fb1465a" /><Relationship Type="http://schemas.openxmlformats.org/officeDocument/2006/relationships/worksheet" Target="/xl/worksheets/sheet1.xml" Id="R0708728d6d0c4986" /><Relationship Type="http://schemas.openxmlformats.org/officeDocument/2006/relationships/worksheet" Target="/xl/worksheets/sheet2.xml" Id="Rde31365b52574ef0" /><Relationship Type="http://schemas.openxmlformats.org/officeDocument/2006/relationships/worksheet" Target="/xl/worksheets/sheet3.xml" Id="R29e1b5c6a7534800" /><Relationship Type="http://schemas.openxmlformats.org/officeDocument/2006/relationships/worksheet" Target="/xl/worksheets/sheet4.xml" Id="R82e85ee0b33b4a40" /><Relationship Type="http://schemas.openxmlformats.org/officeDocument/2006/relationships/worksheet" Target="/xl/worksheets/sheet5.xml" Id="Rce5420a7bba34b1e" /><Relationship Type="http://schemas.openxmlformats.org/officeDocument/2006/relationships/worksheet" Target="/xl/worksheets/sheet6.xml" Id="R06ad7d74e78241c6" /><Relationship Type="http://schemas.openxmlformats.org/officeDocument/2006/relationships/worksheet" Target="/xl/worksheets/sheet7.xml" Id="R777ca7a8750a4439" /><Relationship Type="http://schemas.openxmlformats.org/officeDocument/2006/relationships/worksheet" Target="/xl/worksheets/sheet8.xml" Id="R14f8f0ff12704dfd" /><Relationship Type="http://schemas.openxmlformats.org/officeDocument/2006/relationships/worksheet" Target="/xl/worksheets/sheet9.xml" Id="R481241dc352a4268" /><Relationship Type="http://schemas.openxmlformats.org/officeDocument/2006/relationships/worksheet" Target="/xl/worksheets/sheet10.xml" Id="R227a1a37891549ba" /><Relationship Type="http://schemas.openxmlformats.org/officeDocument/2006/relationships/worksheet" Target="/xl/worksheets/sheet11.xml" Id="R75057521e2564894" /><Relationship Type="http://schemas.openxmlformats.org/officeDocument/2006/relationships/worksheet" Target="/xl/worksheets/sheet12.xml" Id="R7408764f97424674" /><Relationship Type="http://schemas.openxmlformats.org/officeDocument/2006/relationships/worksheet" Target="/xl/worksheets/sheet13.xml" Id="Rc61abfc29c9d4167" /><Relationship Type="http://schemas.openxmlformats.org/officeDocument/2006/relationships/worksheet" Target="/xl/worksheets/sheet14.xml" Id="R5f32253b09144605" /><Relationship Type="http://schemas.openxmlformats.org/officeDocument/2006/relationships/worksheet" Target="/xl/worksheets/sheet15.xml" Id="R789d969840014eb6" /><Relationship Type="http://schemas.openxmlformats.org/officeDocument/2006/relationships/worksheet" Target="/xl/worksheets/sheet16.xml" Id="Rca315a6568e64ebf" /><Relationship Type="http://schemas.openxmlformats.org/officeDocument/2006/relationships/worksheet" Target="/xl/worksheets/sheet17.xml" Id="Rfb885f6ed2e44cb3" /><Relationship Type="http://schemas.openxmlformats.org/officeDocument/2006/relationships/worksheet" Target="/xl/worksheets/sheet18.xml" Id="R7585c203f01c4018" /><Relationship Type="http://schemas.openxmlformats.org/officeDocument/2006/relationships/worksheet" Target="/xl/worksheets/sheet19.xml" Id="R8a08b6dc034141c9" /><Relationship Type="http://schemas.openxmlformats.org/officeDocument/2006/relationships/worksheet" Target="/xl/worksheets/sheet20.xml" Id="R93a56b34f43c4b1f" /><Relationship Type="http://schemas.openxmlformats.org/officeDocument/2006/relationships/worksheet" Target="/xl/worksheets/sheet21.xml" Id="R479062e5ec7446b7" /><Relationship Type="http://schemas.openxmlformats.org/officeDocument/2006/relationships/worksheet" Target="/xl/worksheets/sheet22.xml" Id="R581e98c140e345bd" /><Relationship Type="http://schemas.openxmlformats.org/officeDocument/2006/relationships/worksheet" Target="/xl/worksheets/sheet23.xml" Id="R4944e9caf22547ce" /><Relationship Type="http://schemas.openxmlformats.org/officeDocument/2006/relationships/worksheet" Target="/xl/worksheets/sheet24.xml" Id="R3b5bd9a260e942bd" /><Relationship Type="http://schemas.openxmlformats.org/officeDocument/2006/relationships/worksheet" Target="/xl/worksheets/sheet25.xml" Id="Rf4dd35e1f1034c47" /><Relationship Type="http://schemas.openxmlformats.org/officeDocument/2006/relationships/worksheet" Target="/xl/worksheets/sheet26.xml" Id="R5a790da95e5546a3" /><Relationship Type="http://schemas.openxmlformats.org/officeDocument/2006/relationships/worksheet" Target="/xl/worksheets/sheet27.xml" Id="Rbd45c76c40aa42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62" hidden="0" customWidth="1"/>
    <x:col min="4" max="4" width="28" hidden="0" customWidth="1"/>
  </x:cols>
  <x:sheetData>
    <x:row r="1">
      <x:c r="A1" s="28" t="str">
        <x:v>00_INDEX｜汎用カットモール WORKING R1</x:v>
      </x:c>
      <x:c r="B1" s="28"/>
      <x:c r="C1" s="28"/>
      <x:c r="D1" s="28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0" t="str">
        <x:v>RPL_CUT_MALL固有差分だけを保持し、新設サッシ本体仕様は4正本へ委譲。</x:v>
      </x:c>
      <x:c r="B2" s="30"/>
      <x:c r="C2" s="30"/>
      <x:c r="D2" s="30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1" t="str">
        <x:v>項目</x:v>
      </x:c>
      <x:c r="B4" s="31" t="str">
        <x:v>値</x:v>
      </x:c>
      <x:c r="C4" s="31" t="str">
        <x:v>説明</x:v>
      </x:c>
      <x:c r="D4" s="31" t="str">
        <x:v>Evidence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master_id</x:v>
      </x:c>
      <x:c r="B5" s="32" t="str">
        <x:v>LIXIL_RPL_CUT_MALL_V1_0</x:v>
      </x:c>
      <x:c r="C5" s="32" t="str">
        <x:v>RPL_CUT_MALL Authoring Master</x:v>
      </x:c>
      <x:c r="D5" s="32" t="str">
        <x:v>CM-EV-001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master_version</x:v>
      </x:c>
      <x:c r="B6" s="32" t="str">
        <x:v>v1.0-WORKING-R1</x:v>
      </x:c>
      <x:c r="C6" s="32" t="str">
        <x:v>外付・雨戸付の施工条件修正候補</x:v>
      </x:c>
      <x:c r="D6" s="32" t="str">
        <x:v>CM-EV-016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32" t="str">
        <x:v>package_version</x:v>
      </x:c>
      <x:c r="B7" s="32" t="str">
        <x:v>v1.1-WORKING-R1</x:v>
      </x:c>
      <x:c r="C7" s="32" t="str">
        <x:v>Current v1.1からの隔離候補</x:v>
      </x:c>
      <x:c r="D7" s="32" t="str">
        <x:v>CM-EV-016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32" t="str">
        <x:v>manufacturer</x:v>
      </x:c>
      <x:c r="B8" s="32" t="str">
        <x:v>LIXIL</x:v>
      </x:c>
      <x:c r="C8" s="32" t="str"/>
      <x:c r="D8" s="32" t="str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32" t="str">
        <x:v>series</x:v>
      </x:c>
      <x:c r="B9" s="32" t="str">
        <x:v>リプラス</x:v>
      </x:c>
      <x:c r="C9" s="32" t="str"/>
      <x:c r="D9" s="32" t="str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32" t="str">
        <x:v>installation_system</x:v>
      </x:c>
      <x:c r="B10" s="32" t="str">
        <x:v>RPL_CUT_MALL</x:v>
      </x:c>
      <x:c r="C10" s="32" t="str">
        <x:v>独立取替方式</x:v>
      </x:c>
      <x:c r="D10" s="32" t="str">
        <x:v>CM-EV-002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2" t="str">
        <x:v>installation_system_name</x:v>
      </x:c>
      <x:c r="B11" s="32" t="str">
        <x:v>汎用カットモール</x:v>
      </x:c>
      <x:c r="C11" s="32" t="str"/>
      <x:c r="D11" s="32" t="str">
        <x:v>CM-EV-002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2" t="str">
        <x:v>product_role</x:v>
      </x:c>
      <x:c r="B12" s="32" t="str">
        <x:v>壁切断＋既設枠撤去＋新設サッシ＋外周モール仕上げ</x:v>
      </x:c>
      <x:c r="C12" s="32" t="str">
        <x:v>壁工事あり</x:v>
      </x:c>
      <x:c r="D12" s="32" t="str">
        <x:v>CM-EV-002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32" t="str">
        <x:v>supported_series</x:v>
      </x:c>
      <x:c r="B13" s="32" t="str">
        <x:v>TW / サーモスⅡ-H / サーモスL / サーモスA</x:v>
      </x:c>
      <x:c r="C13" s="32" t="str">
        <x:v>SSOT参照</x:v>
      </x:c>
      <x:c r="D13" s="32" t="str">
        <x:v>CM-EV-002～006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32" t="str">
        <x:v>authoring_status</x:v>
      </x:c>
      <x:c r="B14" s="32" t="str">
        <x:v>WORKING_HOLD</x:v>
      </x:c>
      <x:c r="C14" s="32" t="str">
        <x:v>Source実bytes照合・承認待ち</x:v>
      </x:c>
      <x:c r="D14" s="32" t="str">
        <x:v>99_QA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2" t="str">
        <x:v>package_status</x:v>
      </x:c>
      <x:c r="B15" s="32" t="str">
        <x:v>CANDIDATE_NOT_APPROVED</x:v>
      </x:c>
      <x:c r="C15" s="32" t="str">
        <x:v>Current／正式成果は未変更</x:v>
      </x:c>
      <x:c r="D15" s="32" t="str">
        <x:v>CM-EV-016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4" t="str">
        <x:v>00_README｜責任分界</x:v>
      </x:c>
      <x:c r="B1" s="4"/>
    </x:row>
    <x:row r="2">
      <x:c r="A2" s="10" t="str">
        <x:v>本体色・網戸・ガラス・OP・本体製作範囲を二重登録しない。</x:v>
      </x:c>
      <x:c r="B2" s="10"/>
    </x:row>
    <x:row r="4">
      <x:c r="A4" s="17" t="str">
        <x:v>key</x:v>
      </x:c>
      <x:c r="B4" s="17" t="str">
        <x:v>value</x:v>
      </x:c>
    </x:row>
    <x:row r="5">
      <x:c r="A5" s="22" t="str">
        <x:v>manufacturer</x:v>
      </x:c>
      <x:c r="B5" s="22" t="str">
        <x:v>LIXIL</x:v>
      </x:c>
    </x:row>
    <x:row r="6">
      <x:c r="A6" s="22" t="str">
        <x:v>series</x:v>
      </x:c>
      <x:c r="B6" s="22" t="str">
        <x:v>リプラス</x:v>
      </x:c>
    </x:row>
    <x:row r="7">
      <x:c r="A7" s="22" t="str">
        <x:v>master_id</x:v>
      </x:c>
      <x:c r="B7" s="22" t="str">
        <x:v>LIXIL_RPL_CUT_MALL_V1_0</x:v>
      </x:c>
    </x:row>
    <x:row r="8">
      <x:c r="A8" s="22" t="str">
        <x:v>master_version</x:v>
      </x:c>
      <x:c r="B8" s="22" t="str">
        <x:v>v1.0-WORKING-R1</x:v>
      </x:c>
    </x:row>
    <x:row r="9">
      <x:c r="A9" s="22" t="str">
        <x:v>package_version</x:v>
      </x:c>
      <x:c r="B9" s="22" t="str">
        <x:v>v1.1-WORKING-R1</x:v>
      </x:c>
    </x:row>
    <x:row r="10">
      <x:c r="A10" s="22" t="str">
        <x:v>installation_system</x:v>
      </x:c>
      <x:c r="B10" s="22" t="str">
        <x:v>RPL_CUT_MALL</x:v>
      </x:c>
    </x:row>
    <x:row r="11">
      <x:c r="A11" s="22" t="str">
        <x:v>reference_architecture</x:v>
      </x:c>
      <x:c r="B11" s="22" t="str">
        <x:v>MULTI_REFERENCE / SINGLE_SOURCE_OF_TRUTH</x:v>
      </x:c>
    </x:row>
    <x:row r="12">
      <x:c r="A12" s="22" t="str">
        <x:v>runtime_policy</x:v>
      </x:c>
      <x:c r="B12" s="22" t="str">
        <x:v>本AuthoringをRuntime JSONへ変換。Authoring Excelだけで完了扱いにしない。</x:v>
      </x:c>
    </x:row>
    <x:row r="13">
      <x:c r="A13" s="22" t="str">
        <x:v>normal_ui</x:v>
      </x:c>
      <x:c r="B13" s="22" t="str">
        <x:v>既設条件→対応シリーズ→窓種/仕様→新設サイズ→CUT-MALL寸法→施工条件→本体仕様→施工部材</x:v>
      </x:c>
    </x:row>
    <x:row r="14">
      <x:c r="A14" s="22" t="str">
        <x:v>wind_pressure</x:v>
      </x:c>
      <x:c r="B14" s="22" t="str">
        <x:v>通常必須入力にしない。特殊案件はCOMPLETE_WITH_EXTERNAL_CHECK。</x:v>
      </x:c>
    </x:row>
    <x:row r="15">
      <x:c r="A15" s="22" t="str">
        <x:v>final_status</x:v>
      </x:c>
      <x:c r="B15" s="22" t="str">
        <x:v>FORMAL_PASSはAPG+Storage Gate+Registry完了後のみ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0" hidden="0" customWidth="1"/>
    <x:col min="4" max="4" width="78" hidden="0" customWidth="1"/>
    <x:col min="5" max="5" width="18" hidden="0" customWidth="1"/>
  </x:cols>
  <x:sheetData>
    <x:row r="1">
      <x:c r="A1" s="4" t="str">
        <x:v>01_入力フロー｜Runtime selection flow</x:v>
      </x:c>
      <x:c r="B1" s="4"/>
      <x:c r="C1" s="4"/>
      <x:c r="D1" s="4"/>
      <x:c r="E1" s="4"/>
    </x:row>
    <x:row r="2">
      <x:c r="A2" s="17" t="str">
        <x:v>order</x:v>
      </x:c>
      <x:c r="B2" s="17" t="str">
        <x:v>field</x:v>
      </x:c>
      <x:c r="C2" s="17" t="str">
        <x:v>表示名</x:v>
      </x:c>
      <x:c r="D2" s="17" t="str">
        <x:v>rule</x:v>
      </x:c>
      <x:c r="E2" s="17" t="str">
        <x:v>mode</x:v>
      </x:c>
    </x:row>
    <x:row r="3">
      <x:c r="A3" s="22" t="n">
        <x:v>1</x:v>
      </x:c>
      <x:c r="B3" s="22" t="str">
        <x:v>existing_condition</x:v>
      </x:c>
      <x:c r="C3" s="22" t="str">
        <x:v>既設窓/建物条件</x:v>
      </x:c>
      <x:c r="D3" s="22" t="str">
        <x:v>木造・土間・外付・同品種制限を先行判定</x:v>
      </x:c>
      <x:c r="E3" s="22" t="str">
        <x:v>FILTER</x:v>
      </x:c>
    </x:row>
    <x:row r="4">
      <x:c r="A4" s="22" t="n">
        <x:v>2</x:v>
      </x:c>
      <x:c r="B4" s="22" t="str">
        <x:v>referenced_series</x:v>
      </x:c>
      <x:c r="C4" s="22" t="str">
        <x:v>対応新設シリーズ</x:v>
      </x:c>
      <x:c r="D4" s="22" t="str">
        <x:v>TW / Ⅱ-H / L / A</x:v>
      </x:c>
      <x:c r="E4" s="22" t="str">
        <x:v>SELECT</x:v>
      </x:c>
    </x:row>
    <x:row r="5">
      <x:c r="A5" s="22" t="n">
        <x:v>3</x:v>
      </x:c>
      <x:c r="B5" s="22" t="str">
        <x:v>referenced_window</x:v>
      </x:c>
      <x:c r="C5" s="22" t="str">
        <x:v>対応窓種</x:v>
      </x:c>
      <x:c r="D5" s="22" t="str">
        <x:v>公式対応×正本active/selectable</x:v>
      </x:c>
      <x:c r="E5" s="22" t="str">
        <x:v>FILTER</x:v>
      </x:c>
    </x:row>
    <x:row r="6">
      <x:c r="A6" s="22" t="n">
        <x:v>4</x:v>
      </x:c>
      <x:c r="B6" s="22" t="str">
        <x:v>referenced_spec</x:v>
      </x:c>
      <x:c r="C6" s="22" t="str">
        <x:v>固有仕様</x:v>
      </x:c>
      <x:c r="D6" s="22" t="str">
        <x:v>各正本へ委譲</x:v>
      </x:c>
      <x:c r="E6" s="22" t="str">
        <x:v>REFERENCE</x:v>
      </x:c>
    </x:row>
    <x:row r="7">
      <x:c r="A7" s="22" t="n">
        <x:v>5</x:v>
      </x:c>
      <x:c r="B7" s="22" t="str">
        <x:v>new_sash_size</x:v>
      </x:c>
      <x:c r="C7" s="22" t="str">
        <x:v>新設サッシW/H</x:v>
      </x:c>
      <x:c r="D7" s="22" t="str">
        <x:v>正本サイズ可否</x:v>
      </x:c>
      <x:c r="E7" s="22" t="str">
        <x:v>REFERENCE</x:v>
      </x:c>
    </x:row>
    <x:row r="8">
      <x:c r="A8" s="22" t="n">
        <x:v>6</x:v>
      </x:c>
      <x:c r="B8" s="22" t="str">
        <x:v>cut_mall_dimension</x:v>
      </x:c>
      <x:c r="C8" s="22" t="str">
        <x:v>MW/MH</x:v>
      </x:c>
      <x:c r="D8" s="22" t="str">
        <x:v>RPL_CUT_MALL公式寸法式</x:v>
      </x:c>
      <x:c r="E8" s="22" t="str">
        <x:v>AUTO</x:v>
      </x:c>
    </x:row>
    <x:row r="9">
      <x:c r="A9" s="22" t="n">
        <x:v>7</x:v>
      </x:c>
      <x:c r="B9" s="22" t="str">
        <x:v>construction_check</x:v>
      </x:c>
      <x:c r="C9" s="22" t="str">
        <x:v>施工スペース/壁切断/下地</x:v>
      </x:c>
      <x:c r="D9" s="22" t="str">
        <x:v>ローカル判定</x:v>
      </x:c>
      <x:c r="E9" s="22" t="str">
        <x:v>FILTER</x:v>
      </x:c>
    </x:row>
    <x:row r="10">
      <x:c r="A10" s="22" t="n">
        <x:v>8</x:v>
      </x:c>
      <x:c r="B10" s="22" t="str">
        <x:v>body_specs</x:v>
      </x:c>
      <x:c r="C10" s="22" t="str">
        <x:v>色→網戸→ガラス→OP</x:v>
      </x:c>
      <x:c r="D10" s="22" t="str">
        <x:v>参照正本から取得</x:v>
      </x:c>
      <x:c r="E10" s="22" t="str">
        <x:v>REFERENCE</x:v>
      </x:c>
    </x:row>
    <x:row r="11">
      <x:c r="A11" s="22" t="n">
        <x:v>9</x:v>
      </x:c>
      <x:c r="B11" s="22" t="str">
        <x:v>required_parts</x:v>
      </x:c>
      <x:c r="C11" s="22" t="str">
        <x:v>施工部材</x:v>
      </x:c>
      <x:c r="D11" s="22" t="str">
        <x:v>条件からAUTO_RESOLVED</x:v>
      </x:c>
      <x:c r="E11" s="22" t="str">
        <x:v>AUTO</x:v>
      </x:c>
    </x:row>
    <x:row r="12">
      <x:c r="A12" s="22" t="n">
        <x:v>10</x:v>
      </x:c>
      <x:c r="B12" s="22" t="str">
        <x:v>final</x:v>
      </x:c>
      <x:c r="C12" s="22" t="str">
        <x:v>最終可否</x:v>
      </x:c>
      <x:c r="D12" s="22" t="str">
        <x:v>不成立候補はHIDE/REJECT</x:v>
      </x:c>
      <x:c r="E12" s="22" t="str">
        <x:v>RESOLVE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22" hidden="0" customWidth="1"/>
    <x:col min="5" max="5" width="34" hidden="0" customWidth="1"/>
    <x:col min="6" max="6" width="18" hidden="0" customWidth="1"/>
    <x:col min="7" max="7" width="24" hidden="0" customWidth="1"/>
  </x:cols>
  <x:sheetData>
    <x:row r="1">
      <x:c r="A1" s="4" t="str">
        <x:v>02_取替方式｜installation_system</x:v>
      </x:c>
      <x:c r="B1" s="4"/>
      <x:c r="C1" s="4"/>
      <x:c r="D1" s="4"/>
      <x:c r="E1" s="4"/>
      <x:c r="F1" s="4"/>
      <x:c r="G1" s="4"/>
    </x:row>
    <x:row r="2">
      <x:c r="A2" s="17" t="str">
        <x:v>id</x:v>
      </x:c>
      <x:c r="B2" s="17" t="str">
        <x:v>名称</x:v>
      </x:c>
      <x:c r="C2" s="17" t="str">
        <x:v>wall_work</x:v>
      </x:c>
      <x:c r="D2" s="17" t="str">
        <x:v>existing_frame</x:v>
      </x:c>
      <x:c r="E2" s="17" t="str">
        <x:v>new_sash</x:v>
      </x:c>
      <x:c r="F2" s="17" t="str">
        <x:v>status</x:v>
      </x:c>
      <x:c r="G2" s="17" t="str">
        <x:v>evidence</x:v>
      </x:c>
    </x:row>
    <x:row r="3">
      <x:c r="A3" s="22" t="str">
        <x:v>RPL_CUT_MALL</x:v>
      </x:c>
      <x:c r="B3" s="22" t="str">
        <x:v>汎用カットモール</x:v>
      </x:c>
      <x:c r="C3" s="22" t="str">
        <x:v>壁工事あり</x:v>
      </x:c>
      <x:c r="D3" s="22" t="str">
        <x:v>既設枠撤去</x:v>
      </x:c>
      <x:c r="E3" s="22" t="str">
        <x:v>新設サッシ正本参照</x:v>
      </x:c>
      <x:c r="F3" s="22" t="str">
        <x:v>COMPLETE</x:v>
      </x:c>
      <x:c r="G3" s="22" t="str">
        <x:v>CM-EV-002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70" hidden="0" customWidth="1"/>
    <x:col min="5" max="5" width="18" hidden="0" customWidth="1"/>
    <x:col min="6" max="6" width="25" hidden="0" customWidth="1"/>
  </x:cols>
  <x:sheetData>
    <x:row r="1">
      <x:c r="A1" s="4" t="str">
        <x:v>02A_商品構造｜RPL_CUT_MALL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component</x:v>
      </x:c>
      <x:c r="C2" s="17" t="str">
        <x:v>role</x:v>
      </x:c>
      <x:c r="D2" s="17" t="str">
        <x:v>rule</x:v>
      </x:c>
      <x:c r="E2" s="17" t="str">
        <x:v>status</x:v>
      </x:c>
      <x:c r="F2" s="17" t="str">
        <x:v>evidence</x:v>
      </x:c>
    </x:row>
    <x:row r="3">
      <x:c r="A3" s="22" t="str">
        <x:v>CM-STRUCT-01</x:v>
      </x:c>
      <x:c r="B3" s="22" t="str">
        <x:v>外壁切断</x:v>
      </x:c>
      <x:c r="C3" s="22" t="str">
        <x:v>SYSTEM_REQUIRED</x:v>
      </x:c>
      <x:c r="D3" s="22" t="str">
        <x:v>外壁を切断し既設サッシ枠を撤去</x:v>
      </x:c>
      <x:c r="E3" s="22" t="str">
        <x:v>COMPLETE</x:v>
      </x:c>
      <x:c r="F3" s="22" t="str">
        <x:v>CM-EV-002</x:v>
      </x:c>
    </x:row>
    <x:row r="4">
      <x:c r="A4" s="22" t="str">
        <x:v>CM-STRUCT-02</x:v>
      </x:c>
      <x:c r="B4" s="22" t="str">
        <x:v>新設サッシ</x:v>
      </x:c>
      <x:c r="C4" s="22" t="str">
        <x:v>REFERENCE</x:v>
      </x:c>
      <x:c r="D4" s="22" t="str">
        <x:v>4シリーズ正本</x:v>
      </x:c>
      <x:c r="E4" s="22" t="str">
        <x:v>COMPLETE</x:v>
      </x:c>
      <x:c r="F4" s="22" t="str">
        <x:v>CM-EV-002～006</x:v>
      </x:c>
    </x:row>
    <x:row r="5">
      <x:c r="A5" s="22" t="str">
        <x:v>CM-STRUCT-03</x:v>
      </x:c>
      <x:c r="B5" s="22" t="str">
        <x:v>カットモール</x:v>
      </x:c>
      <x:c r="C5" s="22" t="str">
        <x:v>SYSTEM_REQUIRED</x:v>
      </x:c>
      <x:c r="D5" s="22" t="str">
        <x:v>外周仕上げ</x:v>
      </x:c>
      <x:c r="E5" s="22" t="str">
        <x:v>COMPLETE</x:v>
      </x:c>
      <x:c r="F5" s="22" t="str">
        <x:v>CM-EV-002,007</x:v>
      </x:c>
    </x:row>
    <x:row r="6">
      <x:c r="A6" s="22" t="str">
        <x:v>CM-STRUCT-04</x:v>
      </x:c>
      <x:c r="B6" s="22" t="str">
        <x:v>一次止水</x:v>
      </x:c>
      <x:c r="C6" s="22" t="str">
        <x:v>AUTO_RESOLVED</x:v>
      </x:c>
      <x:c r="D6" s="22" t="str">
        <x:v>乾式/シーリングを納まり別解決</x:v>
      </x:c>
      <x:c r="E6" s="22" t="str">
        <x:v>COMPLETE</x:v>
      </x:c>
      <x:c r="F6" s="22" t="str">
        <x:v>CM-EV-007,008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46" hidden="0" customWidth="1"/>
    <x:col min="5" max="5" width="58" hidden="0" customWidth="1"/>
    <x:col min="6" max="6" width="16" hidden="0" customWidth="1"/>
    <x:col min="7" max="7" width="28" hidden="0" customWidth="1"/>
    <x:col min="8" max="8" width="18" hidden="0" customWidth="1"/>
    <x:col min="9" max="9" width="22" hidden="0" customWidth="1"/>
  </x:cols>
  <x:sheetData>
    <x:row r="1">
      <x:c r="A1" s="4" t="str">
        <x:v>02B_参照商品｜Single Source of Truth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7" t="str">
        <x:v>reference_id</x:v>
      </x:c>
      <x:c r="B2" s="17" t="str">
        <x:v>series</x:v>
      </x:c>
      <x:c r="C2" s="17" t="str">
        <x:v>referenced_series_id</x:v>
      </x:c>
      <x:c r="D2" s="17" t="str">
        <x:v>referenced_master_id</x:v>
      </x:c>
      <x:c r="E2" s="17" t="str">
        <x:v>referenced_master_title</x:v>
      </x:c>
      <x:c r="F2" s="17" t="str">
        <x:v>version</x:v>
      </x:c>
      <x:c r="G2" s="17" t="str">
        <x:v>role</x:v>
      </x:c>
      <x:c r="H2" s="17" t="str">
        <x:v>status</x:v>
      </x:c>
      <x:c r="I2" s="17" t="str">
        <x:v>evidence</x:v>
      </x:c>
    </x:row>
    <x:row r="3">
      <x:c r="A3" s="22" t="str">
        <x:v>CM-REF-01</x:v>
      </x:c>
      <x:c r="B3" s="22" t="str">
        <x:v>TW</x:v>
      </x:c>
      <x:c r="C3" s="22" t="str">
        <x:v>SER-LIX-TW</x:v>
      </x:c>
      <x:c r="D3" s="22" t="str">
        <x:v>1ordbcPQS7XhptLMjRON2oxmdsPhs-aY-Wm7quPHvM9U</x:v>
      </x:c>
      <x:c r="E3" s="22" t="str">
        <x:v>サッシ商品マスター_v0.1</x:v>
      </x:c>
      <x:c r="F3" s="22" t="str">
        <x:v>integrated-v0.1</x:v>
      </x:c>
      <x:c r="G3" s="22" t="str">
        <x:v>SINGLE_SOURCE_OF_TRUTH</x:v>
      </x:c>
      <x:c r="H3" s="22" t="str">
        <x:v>COMPLETE</x:v>
      </x:c>
      <x:c r="I3" s="22" t="str">
        <x:v>CM-EV-003</x:v>
      </x:c>
    </x:row>
    <x:row r="4">
      <x:c r="A4" s="22" t="str">
        <x:v>CM-REF-02</x:v>
      </x:c>
      <x:c r="B4" s="22" t="str">
        <x:v>サーモスⅡ-H</x:v>
      </x:c>
      <x:c r="C4" s="22" t="str">
        <x:v>SER-LIX-SAMOS2H</x:v>
      </x:c>
      <x:c r="D4" s="22" t="str">
        <x:v>1zHi-XsMqJp0MKH-sDoTcnTqkLMGcuRdo</x:v>
      </x:c>
      <x:c r="E4" s="22" t="str">
        <x:v>サーモスⅡH_商品マスター_v0.7_完全完成版.xlsx</x:v>
      </x:c>
      <x:c r="F4" s="22" t="str">
        <x:v>v0.7</x:v>
      </x:c>
      <x:c r="G4" s="22" t="str">
        <x:v>SINGLE_SOURCE_OF_TRUTH</x:v>
      </x:c>
      <x:c r="H4" s="22" t="str">
        <x:v>COMPLETE</x:v>
      </x:c>
      <x:c r="I4" s="22" t="str">
        <x:v>CM-EV-004</x:v>
      </x:c>
    </x:row>
    <x:row r="5">
      <x:c r="A5" s="22" t="str">
        <x:v>CM-REF-03</x:v>
      </x:c>
      <x:c r="B5" s="22" t="str">
        <x:v>サーモスL</x:v>
      </x:c>
      <x:c r="C5" s="22" t="str">
        <x:v>SER-LIX-SAMOSL</x:v>
      </x:c>
      <x:c r="D5" s="22" t="str">
        <x:v>17lVzBZ1hp4RVcGv0yNdnrKt25SFO2FhL</x:v>
      </x:c>
      <x:c r="E5" s="22" t="str">
        <x:v>サーモスL_商品マスター_v0.7_特注寸法発注アプリ投入完成版_QA確定.xlsx</x:v>
      </x:c>
      <x:c r="F5" s="22" t="str">
        <x:v>v0.7</x:v>
      </x:c>
      <x:c r="G5" s="22" t="str">
        <x:v>SINGLE_SOURCE_OF_TRUTH</x:v>
      </x:c>
      <x:c r="H5" s="22" t="str">
        <x:v>COMPLETE</x:v>
      </x:c>
      <x:c r="I5" s="22" t="str">
        <x:v>CM-EV-005</x:v>
      </x:c>
    </x:row>
    <x:row r="6">
      <x:c r="A6" s="22" t="str">
        <x:v>CM-REF-04</x:v>
      </x:c>
      <x:c r="B6" s="22" t="str">
        <x:v>サーモスA</x:v>
      </x:c>
      <x:c r="C6" s="22" t="str">
        <x:v>SER-LIX-SAMOSA</x:v>
      </x:c>
      <x:c r="D6" s="22" t="str">
        <x:v>1cDEFzi0g1DzM5YoeGvZtHuXionD7tmFD</x:v>
      </x:c>
      <x:c r="E6" s="22" t="str">
        <x:v>サーモスA_商品マスター_v0.7.xlsx</x:v>
      </x:c>
      <x:c r="F6" s="22" t="str">
        <x:v>v0.7</x:v>
      </x:c>
      <x:c r="G6" s="22" t="str">
        <x:v>SINGLE_SOURCE_OF_TRUTH</x:v>
      </x:c>
      <x:c r="H6" s="22" t="str">
        <x:v>COMPLETE</x:v>
      </x:c>
      <x:c r="I6" s="22" t="str">
        <x:v>CM-EV-006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60" hidden="0" customWidth="1"/>
    <x:col min="5" max="5" width="18" hidden="0" customWidth="1"/>
    <x:col min="6" max="6" width="18" hidden="0" customWidth="1"/>
    <x:col min="7" max="7" width="24" hidden="0" customWidth="1"/>
  </x:cols>
  <x:sheetData>
    <x:row r="1">
      <x:c r="A1" s="4" t="str">
        <x:v>02C_供給方式</x:v>
      </x:c>
      <x:c r="B1" s="4"/>
      <x:c r="C1" s="4"/>
      <x:c r="D1" s="4"/>
      <x:c r="E1" s="4"/>
      <x:c r="F1" s="4"/>
      <x:c r="G1" s="4"/>
    </x:row>
    <x:row r="2">
      <x:c r="A2" s="17" t="str">
        <x:v>rule_id</x:v>
      </x:c>
      <x:c r="B2" s="17" t="str">
        <x:v>scope</x:v>
      </x:c>
      <x:c r="C2" s="17" t="str">
        <x:v>item</x:v>
      </x:c>
      <x:c r="D2" s="17" t="str">
        <x:v>supply_rule</x:v>
      </x:c>
      <x:c r="E2" s="17" t="str">
        <x:v>source</x:v>
      </x:c>
      <x:c r="F2" s="17" t="str">
        <x:v>status</x:v>
      </x:c>
      <x:c r="G2" s="17" t="str">
        <x:v>evidence</x:v>
      </x:c>
    </x:row>
    <x:row r="3">
      <x:c r="A3" s="22" t="str">
        <x:v>CM-SUPPLY-01</x:v>
      </x:c>
      <x:c r="B3" s="22" t="str">
        <x:v>ALL</x:v>
      </x:c>
      <x:c r="C3" s="22" t="str">
        <x:v>new_sash</x:v>
      </x:c>
      <x:c r="D3" s="22" t="str">
        <x:v>別途新設サッシを正本から手配</x:v>
      </x:c>
      <x:c r="E3" s="22" t="str">
        <x:v>REFERENCE</x:v>
      </x:c>
      <x:c r="F3" s="22" t="str">
        <x:v>COMPLETE</x:v>
      </x:c>
      <x:c r="G3" s="22" t="str">
        <x:v>CM-EV-002</x:v>
      </x:c>
    </x:row>
    <x:row r="4">
      <x:c r="A4" s="22" t="str">
        <x:v>CM-SUPPLY-02</x:v>
      </x:c>
      <x:c r="B4" s="22" t="str">
        <x:v>ALL</x:v>
      </x:c>
      <x:c r="C4" s="22" t="str">
        <x:v>cut_mall</x:v>
      </x:c>
      <x:c r="D4" s="22" t="str">
        <x:v>リプラス汎用カットモール施工部材</x:v>
      </x:c>
      <x:c r="E4" s="22" t="str">
        <x:v>LOCAL</x:v>
      </x:c>
      <x:c r="F4" s="22" t="str">
        <x:v>COMPLETE</x:v>
      </x:c>
      <x:c r="G4" s="22" t="str">
        <x:v>CM-EV-002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8" hidden="0" customWidth="1"/>
    <x:col min="5" max="5" width="14" hidden="0" customWidth="1"/>
    <x:col min="6" max="6" width="18" hidden="0" customWidth="1"/>
    <x:col min="7" max="7" width="16" hidden="0" customWidth="1"/>
    <x:col min="8" max="8" width="18" hidden="0" customWidth="1"/>
    <x:col min="9" max="9" width="24" hidden="0" customWidth="1"/>
  </x:cols>
  <x:sheetData>
    <x:row r="1">
      <x:c r="A1" s="4" t="str">
        <x:v>02D_対応シリーズ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7" t="str">
        <x:v>rule_id</x:v>
      </x:c>
      <x:c r="B2" s="17" t="str">
        <x:v>system</x:v>
      </x:c>
      <x:c r="C2" s="17" t="str">
        <x:v>series_display</x:v>
      </x:c>
      <x:c r="D2" s="17" t="str">
        <x:v>referenced_series_id</x:v>
      </x:c>
      <x:c r="E2" s="17" t="str">
        <x:v>supported</x:v>
      </x:c>
      <x:c r="F2" s="17" t="str">
        <x:v>reference_ready</x:v>
      </x:c>
      <x:c r="G2" s="17" t="str">
        <x:v>ui_action</x:v>
      </x:c>
      <x:c r="H2" s="17" t="str">
        <x:v>status</x:v>
      </x:c>
      <x:c r="I2" s="17" t="str">
        <x:v>evidence</x:v>
      </x:c>
    </x:row>
    <x:row r="3">
      <x:c r="A3" s="22" t="str">
        <x:v>CM-SER-01</x:v>
      </x:c>
      <x:c r="B3" s="22" t="str">
        <x:v>RPL_CUT_MALL</x:v>
      </x:c>
      <x:c r="C3" s="22" t="str">
        <x:v>TW</x:v>
      </x:c>
      <x:c r="D3" s="22" t="str">
        <x:v>SER-LIX-TW</x:v>
      </x:c>
      <x:c r="E3" s="26" t="b">
        <x:v>1</x:v>
      </x:c>
      <x:c r="F3" s="26" t="b">
        <x:v>1</x:v>
      </x:c>
      <x:c r="G3" s="22" t="str">
        <x:v>SHOW</x:v>
      </x:c>
      <x:c r="H3" s="22" t="str">
        <x:v>COMPLETE</x:v>
      </x:c>
      <x:c r="I3" s="22" t="str">
        <x:v>CM-EV-003</x:v>
      </x:c>
    </x:row>
    <x:row r="4">
      <x:c r="A4" s="22" t="str">
        <x:v>CM-SER-02</x:v>
      </x:c>
      <x:c r="B4" s="22" t="str">
        <x:v>RPL_CUT_MALL</x:v>
      </x:c>
      <x:c r="C4" s="22" t="str">
        <x:v>サーモスⅡ-H</x:v>
      </x:c>
      <x:c r="D4" s="22" t="str">
        <x:v>SER-LIX-SAMOS2H</x:v>
      </x:c>
      <x:c r="E4" s="26" t="b">
        <x:v>1</x:v>
      </x:c>
      <x:c r="F4" s="26" t="b">
        <x:v>1</x:v>
      </x:c>
      <x:c r="G4" s="22" t="str">
        <x:v>SHOW</x:v>
      </x:c>
      <x:c r="H4" s="22" t="str">
        <x:v>COMPLETE</x:v>
      </x:c>
      <x:c r="I4" s="22" t="str">
        <x:v>CM-EV-004</x:v>
      </x:c>
    </x:row>
    <x:row r="5">
      <x:c r="A5" s="22" t="str">
        <x:v>CM-SER-03</x:v>
      </x:c>
      <x:c r="B5" s="22" t="str">
        <x:v>RPL_CUT_MALL</x:v>
      </x:c>
      <x:c r="C5" s="22" t="str">
        <x:v>サーモスL</x:v>
      </x:c>
      <x:c r="D5" s="22" t="str">
        <x:v>SER-LIX-SAMOSL</x:v>
      </x:c>
      <x:c r="E5" s="26" t="b">
        <x:v>1</x:v>
      </x:c>
      <x:c r="F5" s="26" t="b">
        <x:v>1</x:v>
      </x:c>
      <x:c r="G5" s="22" t="str">
        <x:v>SHOW</x:v>
      </x:c>
      <x:c r="H5" s="22" t="str">
        <x:v>COMPLETE</x:v>
      </x:c>
      <x:c r="I5" s="22" t="str">
        <x:v>CM-EV-005</x:v>
      </x:c>
    </x:row>
    <x:row r="6">
      <x:c r="A6" s="22" t="str">
        <x:v>CM-SER-04</x:v>
      </x:c>
      <x:c r="B6" s="22" t="str">
        <x:v>RPL_CUT_MALL</x:v>
      </x:c>
      <x:c r="C6" s="22" t="str">
        <x:v>サーモスA</x:v>
      </x:c>
      <x:c r="D6" s="22" t="str">
        <x:v>SER-LIX-SAMOSA</x:v>
      </x:c>
      <x:c r="E6" s="26" t="b">
        <x:v>1</x:v>
      </x:c>
      <x:c r="F6" s="26" t="b">
        <x:v>1</x:v>
      </x:c>
      <x:c r="G6" s="22" t="str">
        <x:v>SHOW</x:v>
      </x:c>
      <x:c r="H6" s="22" t="str">
        <x:v>COMPLETE</x:v>
      </x:c>
      <x:c r="I6" s="22" t="str">
        <x:v>CM-EV-006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6" hidden="0" customWidth="1"/>
    <x:col min="4" max="4" width="44" hidden="0" customWidth="1"/>
    <x:col min="5" max="5" width="20" hidden="0" customWidth="1"/>
    <x:col min="6" max="6" width="16" hidden="0" customWidth="1"/>
    <x:col min="7" max="7" width="18" hidden="0" customWidth="1"/>
    <x:col min="8" max="8" width="24" hidden="0" customWidth="1"/>
  </x:cols>
  <x:sheetData>
    <x:row r="1">
      <x:c r="A1" s="4" t="str">
        <x:v>03_対応窓種｜公式対応×正本有効ID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全正本窓種を無条件に出さず、RPL_CUT_MALL公式対応範囲との交差だけをSHOW。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rule_id</x:v>
      </x:c>
      <x:c r="B4" s="17" t="str">
        <x:v>referenced_series_id</x:v>
      </x:c>
      <x:c r="C4" s="17" t="str">
        <x:v>referenced_window_id</x:v>
      </x:c>
      <x:c r="D4" s="17" t="str">
        <x:v>display</x:v>
      </x:c>
      <x:c r="E4" s="17" t="str">
        <x:v>family</x:v>
      </x:c>
      <x:c r="F4" s="17" t="str">
        <x:v>ui_action</x:v>
      </x:c>
      <x:c r="G4" s="17" t="str">
        <x:v>status</x:v>
      </x:c>
      <x:c r="H4" s="17" t="str">
        <x:v>evidence</x:v>
      </x:c>
    </x:row>
    <x:row r="5">
      <x:c r="A5" s="22" t="str">
        <x:v>CM-W-TW-01</x:v>
      </x:c>
      <x:c r="B5" s="22" t="str">
        <x:v>SER-LIX-TW</x:v>
      </x:c>
      <x:c r="C5" s="22" t="str">
        <x:v>SWT-LIX-TW-UNIT-HIKI</x:v>
      </x:c>
      <x:c r="D5" s="22" t="str">
        <x:v>単体引違い窓</x:v>
      </x:c>
      <x:c r="E5" s="22" t="str">
        <x:v>STANDARD</x:v>
      </x:c>
      <x:c r="F5" s="22" t="str">
        <x:v>SHOW</x:v>
      </x:c>
      <x:c r="G5" s="22" t="str">
        <x:v>COMPLETE</x:v>
      </x:c>
      <x:c r="H5" s="22" t="str">
        <x:v>CM-EV-002,003</x:v>
      </x:c>
    </x:row>
    <x:row r="6">
      <x:c r="A6" s="22" t="str">
        <x:v>CM-W-TW-02</x:v>
      </x:c>
      <x:c r="B6" s="22" t="str">
        <x:v>SER-LIX-TW</x:v>
      </x:c>
      <x:c r="C6" s="22" t="str">
        <x:v>SWT-LIX-TW-SHUT-HIKI</x:v>
      </x:c>
      <x:c r="D6" s="22" t="str">
        <x:v>シャッター付引違い窓</x:v>
      </x:c>
      <x:c r="E6" s="22" t="str">
        <x:v>SHUTTER</x:v>
      </x:c>
      <x:c r="F6" s="22" t="str">
        <x:v>SHOW</x:v>
      </x:c>
      <x:c r="G6" s="22" t="str">
        <x:v>COMPLETE</x:v>
      </x:c>
      <x:c r="H6" s="22" t="str">
        <x:v>CM-EV-002,003</x:v>
      </x:c>
    </x:row>
    <x:row r="7">
      <x:c r="A7" s="22" t="str">
        <x:v>CM-W-TW-03</x:v>
      </x:c>
      <x:c r="B7" s="22" t="str">
        <x:v>SER-LIX-TW</x:v>
      </x:c>
      <x:c r="C7" s="22" t="str">
        <x:v>SWT-LIX-TW-TATE-OP-T</x:v>
      </x:c>
      <x:c r="D7" s="22" t="str">
        <x:v>縦すべり出し窓 T（オペレーター）</x:v>
      </x:c>
      <x:c r="E7" s="22" t="str">
        <x:v>DECORATIVE</x:v>
      </x:c>
      <x:c r="F7" s="22" t="str">
        <x:v>SHOW</x:v>
      </x:c>
      <x:c r="G7" s="22" t="str">
        <x:v>COMPLETE</x:v>
      </x:c>
      <x:c r="H7" s="22" t="str">
        <x:v>CM-EV-002,003</x:v>
      </x:c>
    </x:row>
    <x:row r="8">
      <x:c r="A8" s="22" t="str">
        <x:v>CM-W-TW-04</x:v>
      </x:c>
      <x:c r="B8" s="22" t="str">
        <x:v>SER-LIX-TW</x:v>
      </x:c>
      <x:c r="C8" s="22" t="str">
        <x:v>SWT-LIX-TW-TATE-GREMON-T</x:v>
      </x:c>
      <x:c r="D8" s="22" t="str">
        <x:v>縦すべり出し窓 T（グレモン）</x:v>
      </x:c>
      <x:c r="E8" s="22" t="str">
        <x:v>DECORATIVE</x:v>
      </x:c>
      <x:c r="F8" s="22" t="str">
        <x:v>SHOW</x:v>
      </x:c>
      <x:c r="G8" s="22" t="str">
        <x:v>COMPLETE</x:v>
      </x:c>
      <x:c r="H8" s="22" t="str">
        <x:v>CM-EV-002,003</x:v>
      </x:c>
    </x:row>
    <x:row r="9">
      <x:c r="A9" s="22" t="str">
        <x:v>CM-W-TW-05</x:v>
      </x:c>
      <x:c r="B9" s="22" t="str">
        <x:v>SER-LIX-TW</x:v>
      </x:c>
      <x:c r="C9" s="22" t="str">
        <x:v>SWT-LIX-TW-TATE-GREMON-TF</x:v>
      </x:c>
      <x:c r="D9" s="22" t="str">
        <x:v>縦すべり出し窓 TF（グレモン）</x:v>
      </x:c>
      <x:c r="E9" s="22" t="str">
        <x:v>DECORATIVE</x:v>
      </x:c>
      <x:c r="F9" s="22" t="str">
        <x:v>SHOW</x:v>
      </x:c>
      <x:c r="G9" s="22" t="str">
        <x:v>COMPLETE</x:v>
      </x:c>
      <x:c r="H9" s="22" t="str">
        <x:v>CM-EV-002,003</x:v>
      </x:c>
    </x:row>
    <x:row r="10">
      <x:c r="A10" s="22" t="str">
        <x:v>CM-W-TW-06</x:v>
      </x:c>
      <x:c r="B10" s="22" t="str">
        <x:v>SER-LIX-TW</x:v>
      </x:c>
      <x:c r="C10" s="22" t="str">
        <x:v>SWT-LIX-TW-TATE-GREMON-TFT</x:v>
      </x:c>
      <x:c r="D10" s="22" t="str">
        <x:v>縦すべり出し窓 TFT（グレモン）</x:v>
      </x:c>
      <x:c r="E10" s="22" t="str">
        <x:v>DECORATIVE</x:v>
      </x:c>
      <x:c r="F10" s="22" t="str">
        <x:v>SHOW</x:v>
      </x:c>
      <x:c r="G10" s="22" t="str">
        <x:v>COMPLETE</x:v>
      </x:c>
      <x:c r="H10" s="22" t="str">
        <x:v>CM-EV-002,003</x:v>
      </x:c>
    </x:row>
    <x:row r="11">
      <x:c r="A11" s="22" t="str">
        <x:v>CM-W-TW-07</x:v>
      </x:c>
      <x:c r="B11" s="22" t="str">
        <x:v>SER-LIX-TW</x:v>
      </x:c>
      <x:c r="C11" s="22" t="str">
        <x:v>SWT-LIX-TW-YOKO-OP</x:v>
      </x:c>
      <x:c r="D11" s="22" t="str">
        <x:v>横すべり出し窓（オペレーター）</x:v>
      </x:c>
      <x:c r="E11" s="22" t="str">
        <x:v>DECORATIVE</x:v>
      </x:c>
      <x:c r="F11" s="22" t="str">
        <x:v>SHOW</x:v>
      </x:c>
      <x:c r="G11" s="22" t="str">
        <x:v>COMPLETE</x:v>
      </x:c>
      <x:c r="H11" s="22" t="str">
        <x:v>CM-EV-002,003</x:v>
      </x:c>
    </x:row>
    <x:row r="12">
      <x:c r="A12" s="22" t="str">
        <x:v>CM-W-TW-08</x:v>
      </x:c>
      <x:c r="B12" s="22" t="str">
        <x:v>SER-LIX-TW</x:v>
      </x:c>
      <x:c r="C12" s="22" t="str">
        <x:v>SWT-LIX-TW-YOKO-GREMON</x:v>
      </x:c>
      <x:c r="D12" s="22" t="str">
        <x:v>横すべり出し窓（グレモン）</x:v>
      </x:c>
      <x:c r="E12" s="22" t="str">
        <x:v>DECORATIVE</x:v>
      </x:c>
      <x:c r="F12" s="22" t="str">
        <x:v>SHOW</x:v>
      </x:c>
      <x:c r="G12" s="22" t="str">
        <x:v>COMPLETE</x:v>
      </x:c>
      <x:c r="H12" s="22" t="str">
        <x:v>CM-EV-002,003</x:v>
      </x:c>
    </x:row>
    <x:row r="13">
      <x:c r="A13" s="22" t="str">
        <x:v>CM-W-TW-09</x:v>
      </x:c>
      <x:c r="B13" s="22" t="str">
        <x:v>SER-LIX-TW</x:v>
      </x:c>
      <x:c r="C13" s="22" t="str">
        <x:v>SWT-LIX-TW-AGE-SAGE</x:v>
      </x:c>
      <x:c r="D13" s="22" t="str">
        <x:v>上げ下げ窓</x:v>
      </x:c>
      <x:c r="E13" s="22" t="str">
        <x:v>DECORATIVE</x:v>
      </x:c>
      <x:c r="F13" s="22" t="str">
        <x:v>SHOW</x:v>
      </x:c>
      <x:c r="G13" s="22" t="str">
        <x:v>COMPLETE</x:v>
      </x:c>
      <x:c r="H13" s="22" t="str">
        <x:v>CM-EV-002,003</x:v>
      </x:c>
    </x:row>
    <x:row r="14">
      <x:c r="A14" s="22" t="str">
        <x:v>CM-W-TW-10</x:v>
      </x:c>
      <x:c r="B14" s="22" t="str">
        <x:v>SER-LIX-TW</x:v>
      </x:c>
      <x:c r="C14" s="22" t="str">
        <x:v>SWT-LIX-TW-FIX-IN-MADO</x:v>
      </x:c>
      <x:c r="D14" s="22" t="str">
        <x:v>FIX窓（内押縁タイプ）マド</x:v>
      </x:c>
      <x:c r="E14" s="22" t="str">
        <x:v>DECORATIVE</x:v>
      </x:c>
      <x:c r="F14" s="22" t="str">
        <x:v>SHOW</x:v>
      </x:c>
      <x:c r="G14" s="22" t="str">
        <x:v>COMPLETE</x:v>
      </x:c>
      <x:c r="H14" s="22" t="str">
        <x:v>CM-EV-002,003</x:v>
      </x:c>
    </x:row>
    <x:row r="15">
      <x:c r="A15" s="22" t="str">
        <x:v>CM-W-S2H-01</x:v>
      </x:c>
      <x:c r="B15" s="22" t="str">
        <x:v>SER-LIX-SAMOS2H</x:v>
      </x:c>
      <x:c r="C15" s="22" t="str">
        <x:v>WT-S2H-HIKICHIGAI</x:v>
      </x:c>
      <x:c r="D15" s="22" t="str">
        <x:v>単体引違い窓</x:v>
      </x:c>
      <x:c r="E15" s="22" t="str">
        <x:v>STANDARD</x:v>
      </x:c>
      <x:c r="F15" s="22" t="str">
        <x:v>SHOW</x:v>
      </x:c>
      <x:c r="G15" s="22" t="str">
        <x:v>COMPLETE</x:v>
      </x:c>
      <x:c r="H15" s="22" t="str">
        <x:v>CM-EV-002,004</x:v>
      </x:c>
    </x:row>
    <x:row r="16">
      <x:c r="A16" s="22" t="str">
        <x:v>CM-W-S2H-02</x:v>
      </x:c>
      <x:c r="B16" s="22" t="str">
        <x:v>SER-LIX-SAMOS2H</x:v>
      </x:c>
      <x:c r="C16" s="22" t="str">
        <x:v>WT-S2H-SHUTTER-HIKI</x:v>
      </x:c>
      <x:c r="D16" s="22" t="str">
        <x:v>シャッター付引違い窓</x:v>
      </x:c>
      <x:c r="E16" s="22" t="str">
        <x:v>SHUTTER</x:v>
      </x:c>
      <x:c r="F16" s="22" t="str">
        <x:v>SHOW</x:v>
      </x:c>
      <x:c r="G16" s="22" t="str">
        <x:v>COMPLETE</x:v>
      </x:c>
      <x:c r="H16" s="22" t="str">
        <x:v>CM-EV-002,004</x:v>
      </x:c>
    </x:row>
    <x:row r="17">
      <x:c r="A17" s="22" t="str">
        <x:v>CM-W-S2H-03</x:v>
      </x:c>
      <x:c r="B17" s="22" t="str">
        <x:v>SER-LIX-SAMOS2H</x:v>
      </x:c>
      <x:c r="C17" s="22" t="str">
        <x:v>WT-S2H-AMADO-HIKI</x:v>
      </x:c>
      <x:c r="D17" s="22" t="str">
        <x:v>雨戸付引違い窓</x:v>
      </x:c>
      <x:c r="E17" s="22" t="str">
        <x:v>AMADO</x:v>
      </x:c>
      <x:c r="F17" s="22" t="str">
        <x:v>SHOW</x:v>
      </x:c>
      <x:c r="G17" s="22" t="str">
        <x:v>COMPLETE</x:v>
      </x:c>
      <x:c r="H17" s="22" t="str">
        <x:v>CM-EV-002,004</x:v>
      </x:c>
    </x:row>
    <x:row r="18">
      <x:c r="A18" s="22" t="str">
        <x:v>CM-W-S2H-04</x:v>
      </x:c>
      <x:c r="B18" s="22" t="str">
        <x:v>SER-LIX-SAMOS2H</x:v>
      </x:c>
      <x:c r="C18" s="22" t="str">
        <x:v>WT-S2H-TATE-SUBERI</x:v>
      </x:c>
      <x:c r="D18" s="22" t="str">
        <x:v>縦すべり出し窓</x:v>
      </x:c>
      <x:c r="E18" s="22" t="str">
        <x:v>DECORATIVE</x:v>
      </x:c>
      <x:c r="F18" s="22" t="str">
        <x:v>SHOW</x:v>
      </x:c>
      <x:c r="G18" s="22" t="str">
        <x:v>COMPLETE</x:v>
      </x:c>
      <x:c r="H18" s="22" t="str">
        <x:v>CM-EV-002,004</x:v>
      </x:c>
    </x:row>
    <x:row r="19">
      <x:c r="A19" s="22" t="str">
        <x:v>CM-W-S2H-05</x:v>
      </x:c>
      <x:c r="B19" s="22" t="str">
        <x:v>SER-LIX-SAMOS2H</x:v>
      </x:c>
      <x:c r="C19" s="22" t="str">
        <x:v>WT-S2H-YOKO-SUBERI</x:v>
      </x:c>
      <x:c r="D19" s="22" t="str">
        <x:v>横すべり出し窓</x:v>
      </x:c>
      <x:c r="E19" s="22" t="str">
        <x:v>DECORATIVE</x:v>
      </x:c>
      <x:c r="F19" s="22" t="str">
        <x:v>SHOW</x:v>
      </x:c>
      <x:c r="G19" s="22" t="str">
        <x:v>COMPLETE</x:v>
      </x:c>
      <x:c r="H19" s="22" t="str">
        <x:v>CM-EV-002,004</x:v>
      </x:c>
    </x:row>
    <x:row r="20">
      <x:c r="A20" s="22" t="str">
        <x:v>CM-W-S2H-06</x:v>
      </x:c>
      <x:c r="B20" s="22" t="str">
        <x:v>SER-LIX-SAMOS2H</x:v>
      </x:c>
      <x:c r="C20" s="22" t="str">
        <x:v>WT-S2H-AGE-SAGE-FS</x:v>
      </x:c>
      <x:c r="D20" s="22" t="str">
        <x:v>上げ下げ窓FS</x:v>
      </x:c>
      <x:c r="E20" s="22" t="str">
        <x:v>DECORATIVE</x:v>
      </x:c>
      <x:c r="F20" s="22" t="str">
        <x:v>SHOW</x:v>
      </x:c>
      <x:c r="G20" s="22" t="str">
        <x:v>COMPLETE</x:v>
      </x:c>
      <x:c r="H20" s="22" t="str">
        <x:v>CM-EV-002,004</x:v>
      </x:c>
    </x:row>
    <x:row r="21">
      <x:c r="A21" s="22" t="str">
        <x:v>CM-W-S2H-07</x:v>
      </x:c>
      <x:c r="B21" s="22" t="str">
        <x:v>SER-LIX-SAMOS2H</x:v>
      </x:c>
      <x:c r="C21" s="22" t="str">
        <x:v>WT-S2H-FIX-OUT</x:v>
      </x:c>
      <x:c r="D21" s="22" t="str">
        <x:v>FIX窓（外押縁タイプ）</x:v>
      </x:c>
      <x:c r="E21" s="22" t="str">
        <x:v>DECORATIVE</x:v>
      </x:c>
      <x:c r="F21" s="22" t="str">
        <x:v>SHOW</x:v>
      </x:c>
      <x:c r="G21" s="22" t="str">
        <x:v>COMPLETE</x:v>
      </x:c>
      <x:c r="H21" s="22" t="str">
        <x:v>CM-EV-002,004</x:v>
      </x:c>
    </x:row>
    <x:row r="22">
      <x:c r="A22" s="22" t="str">
        <x:v>CM-W-S2H-08</x:v>
      </x:c>
      <x:c r="B22" s="22" t="str">
        <x:v>SER-LIX-SAMOS2H</x:v>
      </x:c>
      <x:c r="C22" s="22" t="str">
        <x:v>WT-S2H-FIX-IN</x:v>
      </x:c>
      <x:c r="D22" s="22" t="str">
        <x:v>FIX窓（内押縁タイプ）</x:v>
      </x:c>
      <x:c r="E22" s="22" t="str">
        <x:v>DECORATIVE</x:v>
      </x:c>
      <x:c r="F22" s="22" t="str">
        <x:v>SHOW</x:v>
      </x:c>
      <x:c r="G22" s="22" t="str">
        <x:v>COMPLETE</x:v>
      </x:c>
      <x:c r="H22" s="22" t="str">
        <x:v>CM-EV-002,004</x:v>
      </x:c>
    </x:row>
    <x:row r="23">
      <x:c r="A23" s="22" t="str">
        <x:v>CM-W-SL-01</x:v>
      </x:c>
      <x:c r="B23" s="22" t="str">
        <x:v>SER-LIX-SAMOSL</x:v>
      </x:c>
      <x:c r="C23" s="22" t="str">
        <x:v>WT-SL-HIKICHIGAI</x:v>
      </x:c>
      <x:c r="D23" s="22" t="str">
        <x:v>単体引違い窓</x:v>
      </x:c>
      <x:c r="E23" s="22" t="str">
        <x:v>STANDARD</x:v>
      </x:c>
      <x:c r="F23" s="22" t="str">
        <x:v>SHOW</x:v>
      </x:c>
      <x:c r="G23" s="22" t="str">
        <x:v>COMPLETE</x:v>
      </x:c>
      <x:c r="H23" s="22" t="str">
        <x:v>CM-EV-002,005</x:v>
      </x:c>
    </x:row>
    <x:row r="24">
      <x:c r="A24" s="22" t="str">
        <x:v>CM-W-SL-02</x:v>
      </x:c>
      <x:c r="B24" s="22" t="str">
        <x:v>SER-LIX-SAMOSL</x:v>
      </x:c>
      <x:c r="C24" s="22" t="str">
        <x:v>WT-SL-SHUTTER-HIKI</x:v>
      </x:c>
      <x:c r="D24" s="22" t="str">
        <x:v>シャッター付引違い窓</x:v>
      </x:c>
      <x:c r="E24" s="22" t="str">
        <x:v>SHUTTER</x:v>
      </x:c>
      <x:c r="F24" s="22" t="str">
        <x:v>SHOW</x:v>
      </x:c>
      <x:c r="G24" s="22" t="str">
        <x:v>COMPLETE</x:v>
      </x:c>
      <x:c r="H24" s="22" t="str">
        <x:v>CM-EV-002,005</x:v>
      </x:c>
    </x:row>
    <x:row r="25">
      <x:c r="A25" s="22" t="str">
        <x:v>CM-W-SL-03</x:v>
      </x:c>
      <x:c r="B25" s="22" t="str">
        <x:v>SER-LIX-SAMOSL</x:v>
      </x:c>
      <x:c r="C25" s="22" t="str">
        <x:v>WT-SL-AMADO-HIKI</x:v>
      </x:c>
      <x:c r="D25" s="22" t="str">
        <x:v>雨戸付引違い窓</x:v>
      </x:c>
      <x:c r="E25" s="22" t="str">
        <x:v>AMADO</x:v>
      </x:c>
      <x:c r="F25" s="22" t="str">
        <x:v>SHOW</x:v>
      </x:c>
      <x:c r="G25" s="22" t="str">
        <x:v>COMPLETE</x:v>
      </x:c>
      <x:c r="H25" s="22" t="str">
        <x:v>CM-EV-002,005</x:v>
      </x:c>
    </x:row>
    <x:row r="26">
      <x:c r="A26" s="22" t="str">
        <x:v>CM-W-SL-04</x:v>
      </x:c>
      <x:c r="B26" s="22" t="str">
        <x:v>SER-LIX-SAMOSL</x:v>
      </x:c>
      <x:c r="C26" s="22" t="str">
        <x:v>WT-SL-TATE-SUBERI</x:v>
      </x:c>
      <x:c r="D26" s="22" t="str">
        <x:v>縦すべり出し窓</x:v>
      </x:c>
      <x:c r="E26" s="22" t="str">
        <x:v>DECORATIVE</x:v>
      </x:c>
      <x:c r="F26" s="22" t="str">
        <x:v>SHOW</x:v>
      </x:c>
      <x:c r="G26" s="22" t="str">
        <x:v>COMPLETE</x:v>
      </x:c>
      <x:c r="H26" s="22" t="str">
        <x:v>CM-EV-002,005</x:v>
      </x:c>
    </x:row>
    <x:row r="27">
      <x:c r="A27" s="22" t="str">
        <x:v>CM-W-SL-05</x:v>
      </x:c>
      <x:c r="B27" s="22" t="str">
        <x:v>SER-LIX-SAMOSL</x:v>
      </x:c>
      <x:c r="C27" s="22" t="str">
        <x:v>WT-SL-YOKO-SUBERI</x:v>
      </x:c>
      <x:c r="D27" s="22" t="str">
        <x:v>横すべり出し窓</x:v>
      </x:c>
      <x:c r="E27" s="22" t="str">
        <x:v>DECORATIVE</x:v>
      </x:c>
      <x:c r="F27" s="22" t="str">
        <x:v>SHOW</x:v>
      </x:c>
      <x:c r="G27" s="22" t="str">
        <x:v>COMPLETE</x:v>
      </x:c>
      <x:c r="H27" s="22" t="str">
        <x:v>CM-EV-002,005</x:v>
      </x:c>
    </x:row>
    <x:row r="28">
      <x:c r="A28" s="22" t="str">
        <x:v>CM-W-SL-06</x:v>
      </x:c>
      <x:c r="B28" s="22" t="str">
        <x:v>SER-LIX-SAMOSL</x:v>
      </x:c>
      <x:c r="C28" s="22" t="str">
        <x:v>WT-SL-AGE-SAGE-FS</x:v>
      </x:c>
      <x:c r="D28" s="22" t="str">
        <x:v>上げ下げ窓FS</x:v>
      </x:c>
      <x:c r="E28" s="22" t="str">
        <x:v>DECORATIVE</x:v>
      </x:c>
      <x:c r="F28" s="22" t="str">
        <x:v>SHOW</x:v>
      </x:c>
      <x:c r="G28" s="22" t="str">
        <x:v>COMPLETE</x:v>
      </x:c>
      <x:c r="H28" s="22" t="str">
        <x:v>CM-EV-002,005</x:v>
      </x:c>
    </x:row>
    <x:row r="29">
      <x:c r="A29" s="22" t="str">
        <x:v>CM-W-SL-07</x:v>
      </x:c>
      <x:c r="B29" s="22" t="str">
        <x:v>SER-LIX-SAMOSL</x:v>
      </x:c>
      <x:c r="C29" s="22" t="str">
        <x:v>WT-SL-FIX-OUT</x:v>
      </x:c>
      <x:c r="D29" s="22" t="str">
        <x:v>FIX窓（外押縁タイプ）</x:v>
      </x:c>
      <x:c r="E29" s="22" t="str">
        <x:v>DECORATIVE</x:v>
      </x:c>
      <x:c r="F29" s="22" t="str">
        <x:v>SHOW</x:v>
      </x:c>
      <x:c r="G29" s="22" t="str">
        <x:v>COMPLETE</x:v>
      </x:c>
      <x:c r="H29" s="22" t="str">
        <x:v>CM-EV-002,005</x:v>
      </x:c>
    </x:row>
    <x:row r="30">
      <x:c r="A30" s="22" t="str">
        <x:v>CM-W-SL-08</x:v>
      </x:c>
      <x:c r="B30" s="22" t="str">
        <x:v>SER-LIX-SAMOSL</x:v>
      </x:c>
      <x:c r="C30" s="22" t="str">
        <x:v>WT-SL-FIX-IN</x:v>
      </x:c>
      <x:c r="D30" s="22" t="str">
        <x:v>FIX窓（内押縁タイプ）</x:v>
      </x:c>
      <x:c r="E30" s="22" t="str">
        <x:v>DECORATIVE</x:v>
      </x:c>
      <x:c r="F30" s="22" t="str">
        <x:v>SHOW</x:v>
      </x:c>
      <x:c r="G30" s="22" t="str">
        <x:v>COMPLETE</x:v>
      </x:c>
      <x:c r="H30" s="22" t="str">
        <x:v>CM-EV-002,005</x:v>
      </x:c>
    </x:row>
    <x:row r="31">
      <x:c r="A31" s="22" t="str">
        <x:v>CM-W-SA-01</x:v>
      </x:c>
      <x:c r="B31" s="22" t="str">
        <x:v>SER-LIX-SAMOSA</x:v>
      </x:c>
      <x:c r="C31" s="22" t="str">
        <x:v>WT-SA-HIKICHIGAI</x:v>
      </x:c>
      <x:c r="D31" s="22" t="str">
        <x:v>単体引違い窓</x:v>
      </x:c>
      <x:c r="E31" s="22" t="str">
        <x:v>STANDARD</x:v>
      </x:c>
      <x:c r="F31" s="22" t="str">
        <x:v>SHOW</x:v>
      </x:c>
      <x:c r="G31" s="22" t="str">
        <x:v>COMPLETE</x:v>
      </x:c>
      <x:c r="H31" s="22" t="str">
        <x:v>CM-EV-002,006</x:v>
      </x:c>
    </x:row>
    <x:row r="32">
      <x:c r="A32" s="22" t="str">
        <x:v>CM-W-SA-02</x:v>
      </x:c>
      <x:c r="B32" s="22" t="str">
        <x:v>SER-LIX-SAMOSA</x:v>
      </x:c>
      <x:c r="C32" s="22" t="str">
        <x:v>WT-SA-SHUTTER-HIKI</x:v>
      </x:c>
      <x:c r="D32" s="22" t="str">
        <x:v>シャッター付引違い窓</x:v>
      </x:c>
      <x:c r="E32" s="22" t="str">
        <x:v>SHUTTER</x:v>
      </x:c>
      <x:c r="F32" s="22" t="str">
        <x:v>SHOW</x:v>
      </x:c>
      <x:c r="G32" s="22" t="str">
        <x:v>COMPLETE</x:v>
      </x:c>
      <x:c r="H32" s="22" t="str">
        <x:v>CM-EV-002,006</x:v>
      </x:c>
    </x:row>
    <x:row r="33">
      <x:c r="A33" s="22" t="str">
        <x:v>CM-W-SA-03</x:v>
      </x:c>
      <x:c r="B33" s="22" t="str">
        <x:v>SER-LIX-SAMOSA</x:v>
      </x:c>
      <x:c r="C33" s="22" t="str">
        <x:v>WT-SA-AMADO-HIKI</x:v>
      </x:c>
      <x:c r="D33" s="22" t="str">
        <x:v>雨戸付引違い窓</x:v>
      </x:c>
      <x:c r="E33" s="22" t="str">
        <x:v>AMADO</x:v>
      </x:c>
      <x:c r="F33" s="22" t="str">
        <x:v>SHOW</x:v>
      </x:c>
      <x:c r="G33" s="22" t="str">
        <x:v>COMPLETE</x:v>
      </x:c>
      <x:c r="H33" s="22" t="str">
        <x:v>CM-EV-002,006</x:v>
      </x:c>
    </x:row>
    <x:row r="34">
      <x:c r="A34" s="22" t="str">
        <x:v>CM-W-SA-04</x:v>
      </x:c>
      <x:c r="B34" s="22" t="str">
        <x:v>SER-LIX-SAMOSA</x:v>
      </x:c>
      <x:c r="C34" s="22" t="str">
        <x:v>WT-SA-TATE-SUBERI</x:v>
      </x:c>
      <x:c r="D34" s="22" t="str">
        <x:v>縦すべり出し窓（カムラッチ）</x:v>
      </x:c>
      <x:c r="E34" s="22" t="str">
        <x:v>DECORATIVE</x:v>
      </x:c>
      <x:c r="F34" s="22" t="str">
        <x:v>SHOW</x:v>
      </x:c>
      <x:c r="G34" s="22" t="str">
        <x:v>COMPLETE</x:v>
      </x:c>
      <x:c r="H34" s="22" t="str">
        <x:v>CM-EV-002,006</x:v>
      </x:c>
    </x:row>
    <x:row r="35">
      <x:c r="A35" s="22" t="str">
        <x:v>CM-W-SA-05</x:v>
      </x:c>
      <x:c r="B35" s="22" t="str">
        <x:v>SER-LIX-SAMOSA</x:v>
      </x:c>
      <x:c r="C35" s="22" t="str">
        <x:v>WT-SA-YOKO-SUBERI</x:v>
      </x:c>
      <x:c r="D35" s="22" t="str">
        <x:v>横すべり出し窓（カムラッチ）</x:v>
      </x:c>
      <x:c r="E35" s="22" t="str">
        <x:v>DECORATIVE</x:v>
      </x:c>
      <x:c r="F35" s="22" t="str">
        <x:v>SHOW</x:v>
      </x:c>
      <x:c r="G35" s="22" t="str">
        <x:v>COMPLETE</x:v>
      </x:c>
      <x:c r="H35" s="22" t="str">
        <x:v>CM-EV-002,006</x:v>
      </x:c>
    </x:row>
    <x:row r="36">
      <x:c r="A36" s="22" t="str">
        <x:v>CM-W-SA-06</x:v>
      </x:c>
      <x:c r="B36" s="22" t="str">
        <x:v>SER-LIX-SAMOSA</x:v>
      </x:c>
      <x:c r="C36" s="22" t="str">
        <x:v>WT-SA-FIX-IN</x:v>
      </x:c>
      <x:c r="D36" s="22" t="str">
        <x:v>FIX窓（内押縁タイプ）</x:v>
      </x:c>
      <x:c r="E36" s="22" t="str">
        <x:v>DECORATIVE</x:v>
      </x:c>
      <x:c r="F36" s="22" t="str">
        <x:v>SHOW</x:v>
      </x:c>
      <x:c r="G36" s="22" t="str">
        <x:v>COMPLETE</x:v>
      </x:c>
      <x:c r="H36" s="22" t="str">
        <x:v>CM-EV-002,006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52" hidden="0" customWidth="1"/>
    <x:col min="5" max="5" width="22" hidden="0" customWidth="1"/>
    <x:col min="6" max="6" width="18" hidden="0" customWidth="1"/>
    <x:col min="7" max="7" width="24" hidden="0" customWidth="1"/>
  </x:cols>
  <x:sheetData>
    <x:row r="1">
      <x:c r="A1" s="4" t="str">
        <x:v>04_窓種固有仕様｜差分のみ</x:v>
      </x:c>
      <x:c r="B1" s="4"/>
      <x:c r="C1" s="4"/>
      <x:c r="D1" s="4"/>
      <x:c r="E1" s="4"/>
      <x:c r="F1" s="4"/>
      <x:c r="G1" s="4"/>
    </x:row>
    <x:row r="2">
      <x:c r="A2" s="17" t="str">
        <x:v>rule_id</x:v>
      </x:c>
      <x:c r="B2" s="17" t="str">
        <x:v>series</x:v>
      </x:c>
      <x:c r="C2" s="17" t="str">
        <x:v>spec_mode</x:v>
      </x:c>
      <x:c r="D2" s="17" t="str">
        <x:v>source/rule</x:v>
      </x:c>
      <x:c r="E2" s="17" t="str">
        <x:v>selection_mode</x:v>
      </x:c>
      <x:c r="F2" s="17" t="str">
        <x:v>status</x:v>
      </x:c>
      <x:c r="G2" s="17" t="str">
        <x:v>evidence</x:v>
      </x:c>
    </x:row>
    <x:row r="3">
      <x:c r="A3" s="22" t="str">
        <x:v>CM-SPEC-01</x:v>
      </x:c>
      <x:c r="B3" s="22" t="str">
        <x:v>SER-LIX-TW</x:v>
      </x:c>
      <x:c r="C3" s="22" t="str">
        <x:v>series_window_id / TW固有仕様</x:v>
      </x:c>
      <x:c r="D3" s="22" t="str">
        <x:v>参照正本03A/05系</x:v>
      </x:c>
      <x:c r="E3" s="22" t="str">
        <x:v>REFERENCE_ONLY</x:v>
      </x:c>
      <x:c r="F3" s="22" t="str">
        <x:v>COMPLETE</x:v>
      </x:c>
      <x:c r="G3" s="22" t="str">
        <x:v>CM-EV-003</x:v>
      </x:c>
    </x:row>
    <x:row r="4">
      <x:c r="A4" s="22" t="str">
        <x:v>CM-SPEC-02</x:v>
      </x:c>
      <x:c r="B4" s="22" t="str">
        <x:v>SER-LIX-SAMOS2H</x:v>
      </x:c>
      <x:c r="C4" s="22" t="str">
        <x:v>solid_spec_id</x:v>
      </x:c>
      <x:c r="D4" s="22" t="str">
        <x:v>参照正本04_窓種固有仕様</x:v>
      </x:c>
      <x:c r="E4" s="22" t="str">
        <x:v>REFERENCE_ONLY</x:v>
      </x:c>
      <x:c r="F4" s="22" t="str">
        <x:v>COMPLETE</x:v>
      </x:c>
      <x:c r="G4" s="22" t="str">
        <x:v>CM-EV-004</x:v>
      </x:c>
    </x:row>
    <x:row r="5">
      <x:c r="A5" s="22" t="str">
        <x:v>CM-SPEC-03</x:v>
      </x:c>
      <x:c r="B5" s="22" t="str">
        <x:v>SER-LIX-SAMOSL</x:v>
      </x:c>
      <x:c r="C5" s="22" t="str">
        <x:v>solid_spec_id</x:v>
      </x:c>
      <x:c r="D5" s="22" t="str">
        <x:v>参照正本04_窓種固有仕様</x:v>
      </x:c>
      <x:c r="E5" s="22" t="str">
        <x:v>REFERENCE_ONLY</x:v>
      </x:c>
      <x:c r="F5" s="22" t="str">
        <x:v>COMPLETE</x:v>
      </x:c>
      <x:c r="G5" s="22" t="str">
        <x:v>CM-EV-005</x:v>
      </x:c>
    </x:row>
    <x:row r="6">
      <x:c r="A6" s="22" t="str">
        <x:v>CM-SPEC-04</x:v>
      </x:c>
      <x:c r="B6" s="22" t="str">
        <x:v>SER-LIX-SAMOSA</x:v>
      </x:c>
      <x:c r="C6" s="22" t="str">
        <x:v>native canonical fields/rules</x:v>
      </x:c>
      <x:c r="D6" s="22" t="str">
        <x:v>15_DEPENDENCY_RULE</x:v>
      </x:c>
      <x:c r="E6" s="22" t="str">
        <x:v>REFERENCE_ONLY</x:v>
      </x:c>
      <x:c r="F6" s="22" t="str">
        <x:v>COMPLETE</x:v>
      </x:c>
      <x:c r="G6" s="22" t="str">
        <x:v>CM-EV-006</x:v>
      </x:c>
    </x:row>
    <x:row r="7">
      <x:c r="A7" s="22" t="str">
        <x:v>CM-SPEC-05</x:v>
      </x:c>
      <x:c r="B7" s="22" t="str">
        <x:v>ALL</x:v>
      </x:c>
      <x:c r="C7" s="22" t="str">
        <x:v>frame_mounted_grille</x:v>
      </x:c>
      <x:c r="D7" s="22" t="str">
        <x:v>CUT-MALLと干渉</x:v>
      </x:c>
      <x:c r="E7" s="22" t="str">
        <x:v>HIDE</x:v>
      </x:c>
      <x:c r="F7" s="22" t="str">
        <x:v>COMPLETE</x:v>
      </x:c>
      <x:c r="G7" s="22" t="str">
        <x:v>CM-EV-013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68" hidden="0" customWidth="1"/>
    <x:col min="4" max="4" width="24" hidden="0" customWidth="1"/>
    <x:col min="5" max="5" width="30" hidden="0" customWidth="1"/>
    <x:col min="6" max="6" width="24" hidden="0" customWidth="1"/>
  </x:cols>
  <x:sheetData>
    <x:row r="1">
      <x:c r="A1" s="4" t="str">
        <x:v>05_サイズルール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scope</x:v>
      </x:c>
      <x:c r="C2" s="17" t="str">
        <x:v>rule</x:v>
      </x:c>
      <x:c r="D2" s="17" t="str">
        <x:v>result</x:v>
      </x:c>
      <x:c r="E2" s="17" t="str">
        <x:v>status</x:v>
      </x:c>
      <x:c r="F2" s="17" t="str">
        <x:v>evidence</x:v>
      </x:c>
    </x:row>
    <x:row r="3">
      <x:c r="A3" s="22" t="str">
        <x:v>CM-SIZE-01</x:v>
      </x:c>
      <x:c r="B3" s="22" t="str">
        <x:v>new_sash_size</x:v>
      </x:c>
      <x:c r="C3" s="22" t="str">
        <x:v>参照商品正本サイズ判定</x:v>
      </x:c>
      <x:c r="D3" s="22" t="str">
        <x:v>REFERENCE_ONLY</x:v>
      </x:c>
      <x:c r="E3" s="22" t="str">
        <x:v>COMPLETE</x:v>
      </x:c>
      <x:c r="F3" s="22" t="str">
        <x:v>CM-EV-003～006</x:v>
      </x:c>
    </x:row>
    <x:row r="4">
      <x:c r="A4" s="22" t="str">
        <x:v>CM-SIZE-02</x:v>
      </x:c>
      <x:c r="B4" s="22" t="str">
        <x:v>same_size</x:v>
      </x:c>
      <x:c r="C4" s="22" t="str">
        <x:v>既設サッシ寸法と同寸を基本</x:v>
      </x:c>
      <x:c r="D4" s="22" t="str">
        <x:v>AVAILABLE</x:v>
      </x:c>
      <x:c r="E4" s="22" t="str">
        <x:v>COMPLETE</x:v>
      </x:c>
      <x:c r="F4" s="22" t="str">
        <x:v>CM-EV-013</x:v>
      </x:c>
    </x:row>
    <x:row r="5">
      <x:c r="A5" s="22" t="str">
        <x:v>CM-SIZE-03</x:v>
      </x:c>
      <x:c r="B5" s="22" t="str">
        <x:v>larger</x:v>
      </x:c>
      <x:c r="C5" s="22" t="str">
        <x:v>開口拡大工事が必要</x:v>
      </x:c>
      <x:c r="D5" s="22" t="str">
        <x:v>CONDITIONAL</x:v>
      </x:c>
      <x:c r="E5" s="22" t="str">
        <x:v>COMPLETE</x:v>
      </x:c>
      <x:c r="F5" s="22" t="str">
        <x:v>CM-EV-013</x:v>
      </x:c>
    </x:row>
    <x:row r="6">
      <x:c r="A6" s="22" t="str">
        <x:v>CM-SIZE-04</x:v>
      </x:c>
      <x:c r="B6" s="22" t="str">
        <x:v>smaller</x:v>
      </x:c>
      <x:c r="C6" s="22" t="str">
        <x:v>カット部をモールで覆えない</x:v>
      </x:c>
      <x:c r="D6" s="22" t="str">
        <x:v>UNAVAILABLE</x:v>
      </x:c>
      <x:c r="E6" s="22" t="str">
        <x:v>COMPLETE</x:v>
      </x:c>
      <x:c r="F6" s="22" t="str">
        <x:v>CM-EV-013</x:v>
      </x:c>
    </x:row>
    <x:row r="7">
      <x:c r="A7" s="22" t="str">
        <x:v>CM-SIZE-05</x:v>
      </x:c>
      <x:c r="B7" s="22" t="str">
        <x:v>special_figure</x:v>
      </x:c>
      <x:c r="C7" s="22" t="str">
        <x:v>図形境界/特殊納まり</x:v>
      </x:c>
      <x:c r="D7" s="22" t="str">
        <x:v>EXTERNAL_CHECK</x:v>
      </x:c>
      <x:c r="E7" s="22" t="str">
        <x:v>COMPLETE_WITH_EXTERNAL_CHECK</x:v>
      </x:c>
      <x:c r="F7" s="22" t="str">
        <x:v>CM-EV-007～010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18" hidden="0" customWidth="1"/>
    <x:col min="5" max="5" width="22" hidden="0" customWidth="1"/>
    <x:col min="6" max="6" width="32" hidden="0" customWidth="1"/>
    <x:col min="7" max="7" width="14" hidden="0" customWidth="1"/>
    <x:col min="8" max="8" width="16" hidden="0" customWidth="1"/>
    <x:col min="9" max="9" width="44" hidden="0" customWidth="1"/>
    <x:col min="10" max="10" width="32" hidden="0" customWidth="1"/>
    <x:col min="11" max="11" width="24" hidden="0" customWidth="1"/>
  </x:cols>
  <x:sheetData>
    <x:row r="1">
      <x:c r="A1" s="4" t="str">
        <x:v>05B_カットモール寸法｜MW/MH公式式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サーモス系・TWとも現行LIXIL公式式を機械判定可能に保持。ATT系WS/HS変換式は使用しない。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7" t="str">
        <x:v>dimension_rule_id</x:v>
      </x:c>
      <x:c r="B4" s="17" t="str">
        <x:v>referenced_series_id</x:v>
      </x:c>
      <x:c r="C4" s="17" t="str">
        <x:v>family</x:v>
      </x:c>
      <x:c r="D4" s="17" t="str">
        <x:v>opening_class</x:v>
      </x:c>
      <x:c r="E4" s="17" t="str">
        <x:v>result_dimension</x:v>
      </x:c>
      <x:c r="F4" s="17" t="str">
        <x:v>source_dimension</x:v>
      </x:c>
      <x:c r="G4" s="17" t="str">
        <x:v>operator</x:v>
      </x:c>
      <x:c r="H4" s="17" t="str">
        <x:v>offset_mm</x:v>
      </x:c>
      <x:c r="I4" s="17" t="str">
        <x:v>formula</x:v>
      </x:c>
      <x:c r="J4" s="17" t="str">
        <x:v>status</x:v>
      </x:c>
      <x:c r="K4" s="17" t="str">
        <x:v>evidence</x:v>
      </x:c>
    </x:row>
    <x:row r="5">
      <x:c r="A5" s="22" t="str">
        <x:v>CM-DIM-SAMOS-NORMAL-MADO</x:v>
      </x:c>
      <x:c r="B5" s="22" t="str">
        <x:v>SER-LIX-SAMOS2H|SER-LIX-SAMOSL|SER-LIX-SAMOSA</x:v>
      </x:c>
      <x:c r="C5" s="22" t="str">
        <x:v>STANDARD|DECORATIVE</x:v>
      </x:c>
      <x:c r="D5" s="22" t="str">
        <x:v>MADO</x:v>
      </x:c>
      <x:c r="E5" s="22" t="str">
        <x:v>MW</x:v>
      </x:c>
      <x:c r="F5" s="22" t="str">
        <x:v>new_sash_W</x:v>
      </x:c>
      <x:c r="G5" s="22" t="str">
        <x:v>+</x:v>
      </x:c>
      <x:c r="H5" s="22" t="str">
        <x:v>16</x:v>
      </x:c>
      <x:c r="I5" s="22" t="str">
        <x:v>MW = W + 16</x:v>
      </x:c>
      <x:c r="J5" s="22" t="str">
        <x:v>COMPLETE</x:v>
      </x:c>
      <x:c r="K5" s="22" t="str">
        <x:v>CM-EV-007</x:v>
      </x:c>
    </x:row>
    <x:row r="6">
      <x:c r="A6" s="22" t="str">
        <x:v>CM-DIM-SAMOS-NORMAL-MADO-H</x:v>
      </x:c>
      <x:c r="B6" s="22" t="str">
        <x:v>SER-LIX-SAMOS2H|SER-LIX-SAMOSL|SER-LIX-SAMOSA</x:v>
      </x:c>
      <x:c r="C6" s="22" t="str">
        <x:v>STANDARD|DECORATIVE</x:v>
      </x:c>
      <x:c r="D6" s="22" t="str">
        <x:v>MADO</x:v>
      </x:c>
      <x:c r="E6" s="22" t="str">
        <x:v>MH</x:v>
      </x:c>
      <x:c r="F6" s="22" t="str">
        <x:v>new_sash_H</x:v>
      </x:c>
      <x:c r="G6" s="22" t="str">
        <x:v>+</x:v>
      </x:c>
      <x:c r="H6" s="22" t="str">
        <x:v>26</x:v>
      </x:c>
      <x:c r="I6" s="22" t="str">
        <x:v>MH = H + 26</x:v>
      </x:c>
      <x:c r="J6" s="22" t="str">
        <x:v>COMPLETE</x:v>
      </x:c>
      <x:c r="K6" s="22" t="str">
        <x:v>CM-EV-007</x:v>
      </x:c>
    </x:row>
    <x:row r="7">
      <x:c r="A7" s="22" t="str">
        <x:v>CM-DIM-SAMOS-NORMAL-TERRACE</x:v>
      </x:c>
      <x:c r="B7" s="22" t="str">
        <x:v>SER-LIX-SAMOS2H|SER-LIX-SAMOSL|SER-LIX-SAMOSA</x:v>
      </x:c>
      <x:c r="C7" s="22" t="str">
        <x:v>STANDARD|DECORATIVE</x:v>
      </x:c>
      <x:c r="D7" s="22" t="str">
        <x:v>TERRACE</x:v>
      </x:c>
      <x:c r="E7" s="22" t="str">
        <x:v>MW</x:v>
      </x:c>
      <x:c r="F7" s="22" t="str">
        <x:v>new_sash_W</x:v>
      </x:c>
      <x:c r="G7" s="22" t="str">
        <x:v>+</x:v>
      </x:c>
      <x:c r="H7" s="22" t="str">
        <x:v>16</x:v>
      </x:c>
      <x:c r="I7" s="22" t="str">
        <x:v>MW = W + 16</x:v>
      </x:c>
      <x:c r="J7" s="22" t="str">
        <x:v>COMPLETE</x:v>
      </x:c>
      <x:c r="K7" s="22" t="str">
        <x:v>CM-EV-007</x:v>
      </x:c>
    </x:row>
    <x:row r="8">
      <x:c r="A8" s="22" t="str">
        <x:v>CM-DIM-SAMOS-NORMAL-TERRACE-H</x:v>
      </x:c>
      <x:c r="B8" s="22" t="str">
        <x:v>SER-LIX-SAMOS2H|SER-LIX-SAMOSL|SER-LIX-SAMOSA</x:v>
      </x:c>
      <x:c r="C8" s="22" t="str">
        <x:v>STANDARD|DECORATIVE</x:v>
      </x:c>
      <x:c r="D8" s="22" t="str">
        <x:v>TERRACE</x:v>
      </x:c>
      <x:c r="E8" s="22" t="str">
        <x:v>MH</x:v>
      </x:c>
      <x:c r="F8" s="22" t="str">
        <x:v>new_sash_H</x:v>
      </x:c>
      <x:c r="G8" s="22" t="str">
        <x:v>+</x:v>
      </x:c>
      <x:c r="H8" s="22" t="str">
        <x:v>66</x:v>
      </x:c>
      <x:c r="I8" s="22" t="str">
        <x:v>MH = H + 66</x:v>
      </x:c>
      <x:c r="J8" s="22" t="str">
        <x:v>COMPLETE</x:v>
      </x:c>
      <x:c r="K8" s="22" t="str">
        <x:v>CM-EV-007</x:v>
      </x:c>
    </x:row>
    <x:row r="9">
      <x:c r="A9" s="22" t="str">
        <x:v>CM-DIM-SAMOS-SHUT-MADO-W</x:v>
      </x:c>
      <x:c r="B9" s="22" t="str">
        <x:v>SER-LIX-SAMOS2H|SER-LIX-SAMOSL|SER-LIX-SAMOSA</x:v>
      </x:c>
      <x:c r="C9" s="22" t="str">
        <x:v>SHUTTER</x:v>
      </x:c>
      <x:c r="D9" s="22" t="str">
        <x:v>MADO</x:v>
      </x:c>
      <x:c r="E9" s="22" t="str">
        <x:v>MW</x:v>
      </x:c>
      <x:c r="F9" s="22" t="str">
        <x:v>new_sash_W</x:v>
      </x:c>
      <x:c r="G9" s="22" t="str">
        <x:v>+</x:v>
      </x:c>
      <x:c r="H9" s="22" t="str">
        <x:v>26</x:v>
      </x:c>
      <x:c r="I9" s="22" t="str">
        <x:v>MW = W + 26</x:v>
      </x:c>
      <x:c r="J9" s="22" t="str">
        <x:v>COMPLETE</x:v>
      </x:c>
      <x:c r="K9" s="22" t="str">
        <x:v>CM-EV-008</x:v>
      </x:c>
    </x:row>
    <x:row r="10">
      <x:c r="A10" s="22" t="str">
        <x:v>CM-DIM-SAMOS-SHUT-MADO-H</x:v>
      </x:c>
      <x:c r="B10" s="22" t="str">
        <x:v>SER-LIX-SAMOS2H|SER-LIX-SAMOSL|SER-LIX-SAMOSA</x:v>
      </x:c>
      <x:c r="C10" s="22" t="str">
        <x:v>SHUTTER</x:v>
      </x:c>
      <x:c r="D10" s="22" t="str">
        <x:v>MADO</x:v>
      </x:c>
      <x:c r="E10" s="22" t="str">
        <x:v>MH</x:v>
      </x:c>
      <x:c r="F10" s="22" t="str">
        <x:v>new_sash_H</x:v>
      </x:c>
      <x:c r="G10" s="22" t="str">
        <x:v>+</x:v>
      </x:c>
      <x:c r="H10" s="22" t="str">
        <x:v>272</x:v>
      </x:c>
      <x:c r="I10" s="22" t="str">
        <x:v>MH = H + 272</x:v>
      </x:c>
      <x:c r="J10" s="22" t="str">
        <x:v>COMPLETE</x:v>
      </x:c>
      <x:c r="K10" s="22" t="str">
        <x:v>CM-EV-008</x:v>
      </x:c>
    </x:row>
    <x:row r="11">
      <x:c r="A11" s="22" t="str">
        <x:v>CM-DIM-SAMOS-SHUT-TERR-W</x:v>
      </x:c>
      <x:c r="B11" s="22" t="str">
        <x:v>SER-LIX-SAMOS2H|SER-LIX-SAMOSL|SER-LIX-SAMOSA</x:v>
      </x:c>
      <x:c r="C11" s="22" t="str">
        <x:v>SHUTTER</x:v>
      </x:c>
      <x:c r="D11" s="22" t="str">
        <x:v>TERRACE</x:v>
      </x:c>
      <x:c r="E11" s="22" t="str">
        <x:v>MW</x:v>
      </x:c>
      <x:c r="F11" s="22" t="str">
        <x:v>new_sash_W</x:v>
      </x:c>
      <x:c r="G11" s="22" t="str">
        <x:v>+</x:v>
      </x:c>
      <x:c r="H11" s="22" t="str">
        <x:v>26</x:v>
      </x:c>
      <x:c r="I11" s="22" t="str">
        <x:v>MW = W + 26</x:v>
      </x:c>
      <x:c r="J11" s="22" t="str">
        <x:v>COMPLETE</x:v>
      </x:c>
      <x:c r="K11" s="22" t="str">
        <x:v>CM-EV-008</x:v>
      </x:c>
    </x:row>
    <x:row r="12">
      <x:c r="A12" s="22" t="str">
        <x:v>CM-DIM-SAMOS-SHUT-TERR-H</x:v>
      </x:c>
      <x:c r="B12" s="22" t="str">
        <x:v>SER-LIX-SAMOS2H|SER-LIX-SAMOSL|SER-LIX-SAMOSA</x:v>
      </x:c>
      <x:c r="C12" s="22" t="str">
        <x:v>SHUTTER</x:v>
      </x:c>
      <x:c r="D12" s="22" t="str">
        <x:v>TERRACE</x:v>
      </x:c>
      <x:c r="E12" s="22" t="str">
        <x:v>MH</x:v>
      </x:c>
      <x:c r="F12" s="22" t="str">
        <x:v>new_sash_H</x:v>
      </x:c>
      <x:c r="G12" s="22" t="str">
        <x:v>+</x:v>
      </x:c>
      <x:c r="H12" s="22" t="str">
        <x:v>312</x:v>
      </x:c>
      <x:c r="I12" s="22" t="str">
        <x:v>MH = H + 312</x:v>
      </x:c>
      <x:c r="J12" s="22" t="str">
        <x:v>COMPLETE</x:v>
      </x:c>
      <x:c r="K12" s="22" t="str">
        <x:v>CM-EV-008</x:v>
      </x:c>
    </x:row>
    <x:row r="13">
      <x:c r="A13" s="22" t="str">
        <x:v>CM-DIM-SAMOS-AMADO-W</x:v>
      </x:c>
      <x:c r="B13" s="22" t="str">
        <x:v>SER-LIX-SAMOS2H|SER-LIX-SAMOSL|SER-LIX-SAMOSA</x:v>
      </x:c>
      <x:c r="C13" s="22" t="str">
        <x:v>AMADO</x:v>
      </x:c>
      <x:c r="D13" s="22" t="str">
        <x:v>MADO|TERRACE</x:v>
      </x:c>
      <x:c r="E13" s="22" t="str">
        <x:v>MW</x:v>
      </x:c>
      <x:c r="F13" s="22" t="str">
        <x:v>new_sash_W+amado_pocket_W</x:v>
      </x:c>
      <x:c r="G13" s="22" t="str">
        <x:v>+</x:v>
      </x:c>
      <x:c r="H13" s="22" t="str">
        <x:v>3</x:v>
      </x:c>
      <x:c r="I13" s="22" t="str">
        <x:v>MW = W + 戸袋納まりW + 3</x:v>
      </x:c>
      <x:c r="J13" s="22" t="str">
        <x:v>COMPLETE</x:v>
      </x:c>
      <x:c r="K13" s="22" t="str">
        <x:v>CM-EV-009</x:v>
      </x:c>
    </x:row>
    <x:row r="14">
      <x:c r="A14" s="22" t="str">
        <x:v>CM-DIM-SAMOS-AMADO-MADO-H</x:v>
      </x:c>
      <x:c r="B14" s="22" t="str">
        <x:v>SER-LIX-SAMOS2H|SER-LIX-SAMOSL|SER-LIX-SAMOSA</x:v>
      </x:c>
      <x:c r="C14" s="22" t="str">
        <x:v>AMADO</x:v>
      </x:c>
      <x:c r="D14" s="22" t="str">
        <x:v>MADO</x:v>
      </x:c>
      <x:c r="E14" s="22" t="str">
        <x:v>MH</x:v>
      </x:c>
      <x:c r="F14" s="22" t="str">
        <x:v>new_sash_H</x:v>
      </x:c>
      <x:c r="G14" s="22" t="str">
        <x:v>+</x:v>
      </x:c>
      <x:c r="H14" s="22" t="str">
        <x:v>44</x:v>
      </x:c>
      <x:c r="I14" s="22" t="str">
        <x:v>MH = H + 44</x:v>
      </x:c>
      <x:c r="J14" s="22" t="str">
        <x:v>COMPLETE</x:v>
      </x:c>
      <x:c r="K14" s="22" t="str">
        <x:v>CM-EV-009</x:v>
      </x:c>
    </x:row>
    <x:row r="15">
      <x:c r="A15" s="22" t="str">
        <x:v>CM-DIM-SAMOS-AMADO-TERR-H</x:v>
      </x:c>
      <x:c r="B15" s="22" t="str">
        <x:v>SER-LIX-SAMOS2H|SER-LIX-SAMOSL|SER-LIX-SAMOSA</x:v>
      </x:c>
      <x:c r="C15" s="22" t="str">
        <x:v>AMADO</x:v>
      </x:c>
      <x:c r="D15" s="22" t="str">
        <x:v>TERRACE</x:v>
      </x:c>
      <x:c r="E15" s="22" t="str">
        <x:v>MH</x:v>
      </x:c>
      <x:c r="F15" s="22" t="str">
        <x:v>new_sash_H</x:v>
      </x:c>
      <x:c r="G15" s="22" t="str">
        <x:v>+</x:v>
      </x:c>
      <x:c r="H15" s="22" t="str">
        <x:v>84</x:v>
      </x:c>
      <x:c r="I15" s="22" t="str">
        <x:v>MH = H + 84</x:v>
      </x:c>
      <x:c r="J15" s="22" t="str">
        <x:v>COMPLETE</x:v>
      </x:c>
      <x:c r="K15" s="22" t="str">
        <x:v>CM-EV-009</x:v>
      </x:c>
    </x:row>
    <x:row r="16">
      <x:c r="A16" s="22" t="str">
        <x:v>CM-DIM-TW-HIKI-MADO-W</x:v>
      </x:c>
      <x:c r="B16" s="22" t="str">
        <x:v>SER-LIX-TW</x:v>
      </x:c>
      <x:c r="C16" s="22" t="str">
        <x:v>HIKICHIGAI</x:v>
      </x:c>
      <x:c r="D16" s="22" t="str">
        <x:v>MADO</x:v>
      </x:c>
      <x:c r="E16" s="22" t="str">
        <x:v>MW</x:v>
      </x:c>
      <x:c r="F16" s="22" t="str">
        <x:v>new_sash_W</x:v>
      </x:c>
      <x:c r="G16" s="22" t="str">
        <x:v>+</x:v>
      </x:c>
      <x:c r="H16" s="22" t="str">
        <x:v>16</x:v>
      </x:c>
      <x:c r="I16" s="22" t="str">
        <x:v>MW = W + 16</x:v>
      </x:c>
      <x:c r="J16" s="22" t="str">
        <x:v>COMPLETE</x:v>
      </x:c>
      <x:c r="K16" s="22" t="str">
        <x:v>CM-EV-010</x:v>
      </x:c>
    </x:row>
    <x:row r="17">
      <x:c r="A17" s="22" t="str">
        <x:v>CM-DIM-TW-HIKI-MADO-H</x:v>
      </x:c>
      <x:c r="B17" s="22" t="str">
        <x:v>SER-LIX-TW</x:v>
      </x:c>
      <x:c r="C17" s="22" t="str">
        <x:v>HIKICHIGAI</x:v>
      </x:c>
      <x:c r="D17" s="22" t="str">
        <x:v>MADO</x:v>
      </x:c>
      <x:c r="E17" s="22" t="str">
        <x:v>MH</x:v>
      </x:c>
      <x:c r="F17" s="22" t="str">
        <x:v>new_sash_H</x:v>
      </x:c>
      <x:c r="G17" s="22" t="str">
        <x:v>+</x:v>
      </x:c>
      <x:c r="H17" s="22" t="str">
        <x:v>41</x:v>
      </x:c>
      <x:c r="I17" s="22" t="str">
        <x:v>MH = H + 41</x:v>
      </x:c>
      <x:c r="J17" s="22" t="str">
        <x:v>COMPLETE</x:v>
      </x:c>
      <x:c r="K17" s="22" t="str">
        <x:v>CM-EV-010</x:v>
      </x:c>
    </x:row>
    <x:row r="18">
      <x:c r="A18" s="22" t="str">
        <x:v>CM-DIM-TW-HIKI-TERR-W</x:v>
      </x:c>
      <x:c r="B18" s="22" t="str">
        <x:v>SER-LIX-TW</x:v>
      </x:c>
      <x:c r="C18" s="22" t="str">
        <x:v>HIKICHIGAI</x:v>
      </x:c>
      <x:c r="D18" s="22" t="str">
        <x:v>TERRACE</x:v>
      </x:c>
      <x:c r="E18" s="22" t="str">
        <x:v>MW</x:v>
      </x:c>
      <x:c r="F18" s="22" t="str">
        <x:v>new_sash_W</x:v>
      </x:c>
      <x:c r="G18" s="22" t="str">
        <x:v>+</x:v>
      </x:c>
      <x:c r="H18" s="22" t="str">
        <x:v>16</x:v>
      </x:c>
      <x:c r="I18" s="22" t="str">
        <x:v>MW = W + 16</x:v>
      </x:c>
      <x:c r="J18" s="22" t="str">
        <x:v>COMPLETE</x:v>
      </x:c>
      <x:c r="K18" s="22" t="str">
        <x:v>CM-EV-010</x:v>
      </x:c>
    </x:row>
    <x:row r="19">
      <x:c r="A19" s="22" t="str">
        <x:v>CM-DIM-TW-HIKI-TERR-H</x:v>
      </x:c>
      <x:c r="B19" s="22" t="str">
        <x:v>SER-LIX-TW</x:v>
      </x:c>
      <x:c r="C19" s="22" t="str">
        <x:v>HIKICHIGAI</x:v>
      </x:c>
      <x:c r="D19" s="22" t="str">
        <x:v>TERRACE</x:v>
      </x:c>
      <x:c r="E19" s="22" t="str">
        <x:v>MH</x:v>
      </x:c>
      <x:c r="F19" s="22" t="str">
        <x:v>new_sash_H</x:v>
      </x:c>
      <x:c r="G19" s="22" t="str">
        <x:v>+</x:v>
      </x:c>
      <x:c r="H19" s="22" t="str">
        <x:v>81</x:v>
      </x:c>
      <x:c r="I19" s="22" t="str">
        <x:v>MH = H + 81</x:v>
      </x:c>
      <x:c r="J19" s="22" t="str">
        <x:v>COMPLETE</x:v>
      </x:c>
      <x:c r="K19" s="22" t="str">
        <x:v>CM-EV-010</x:v>
      </x:c>
    </x:row>
    <x:row r="20">
      <x:c r="A20" s="22" t="str">
        <x:v>CM-DIM-TW-DECO-MADO-W</x:v>
      </x:c>
      <x:c r="B20" s="22" t="str">
        <x:v>SER-LIX-TW</x:v>
      </x:c>
      <x:c r="C20" s="22" t="str">
        <x:v>DECORATIVE</x:v>
      </x:c>
      <x:c r="D20" s="22" t="str">
        <x:v>MADO</x:v>
      </x:c>
      <x:c r="E20" s="22" t="str">
        <x:v>MW</x:v>
      </x:c>
      <x:c r="F20" s="22" t="str">
        <x:v>new_sash_W</x:v>
      </x:c>
      <x:c r="G20" s="22" t="str">
        <x:v>+</x:v>
      </x:c>
      <x:c r="H20" s="22" t="str">
        <x:v>16</x:v>
      </x:c>
      <x:c r="I20" s="22" t="str">
        <x:v>MW = W + 16</x:v>
      </x:c>
      <x:c r="J20" s="22" t="str">
        <x:v>COMPLETE</x:v>
      </x:c>
      <x:c r="K20" s="22" t="str">
        <x:v>CM-EV-010</x:v>
      </x:c>
    </x:row>
    <x:row r="21">
      <x:c r="A21" s="22" t="str">
        <x:v>CM-DIM-TW-DECO-MADO-H</x:v>
      </x:c>
      <x:c r="B21" s="22" t="str">
        <x:v>SER-LIX-TW</x:v>
      </x:c>
      <x:c r="C21" s="22" t="str">
        <x:v>DECORATIVE</x:v>
      </x:c>
      <x:c r="D21" s="22" t="str">
        <x:v>MADO</x:v>
      </x:c>
      <x:c r="E21" s="22" t="str">
        <x:v>MH</x:v>
      </x:c>
      <x:c r="F21" s="22" t="str">
        <x:v>new_sash_H</x:v>
      </x:c>
      <x:c r="G21" s="22" t="str">
        <x:v>+</x:v>
      </x:c>
      <x:c r="H21" s="22" t="str">
        <x:v>28</x:v>
      </x:c>
      <x:c r="I21" s="22" t="str">
        <x:v>MH = H + 28</x:v>
      </x:c>
      <x:c r="J21" s="22" t="str">
        <x:v>COMPLETE</x:v>
      </x:c>
      <x:c r="K21" s="22" t="str">
        <x:v>CM-EV-010</x:v>
      </x:c>
    </x:row>
    <x:row r="22">
      <x:c r="A22" s="22" t="str">
        <x:v>CM-DIM-TW-DECO-TERR-W</x:v>
      </x:c>
      <x:c r="B22" s="22" t="str">
        <x:v>SER-LIX-TW</x:v>
      </x:c>
      <x:c r="C22" s="22" t="str">
        <x:v>DECORATIVE|VENT_DOOR|TERRACE_DOOR</x:v>
      </x:c>
      <x:c r="D22" s="22" t="str">
        <x:v>TERRACE</x:v>
      </x:c>
      <x:c r="E22" s="22" t="str">
        <x:v>MW</x:v>
      </x:c>
      <x:c r="F22" s="22" t="str">
        <x:v>new_sash_W</x:v>
      </x:c>
      <x:c r="G22" s="22" t="str">
        <x:v>+</x:v>
      </x:c>
      <x:c r="H22" s="22" t="str">
        <x:v>16</x:v>
      </x:c>
      <x:c r="I22" s="22" t="str">
        <x:v>MW = W + 16</x:v>
      </x:c>
      <x:c r="J22" s="22" t="str">
        <x:v>COMPLETE</x:v>
      </x:c>
      <x:c r="K22" s="22" t="str">
        <x:v>CM-EV-010</x:v>
      </x:c>
    </x:row>
    <x:row r="23">
      <x:c r="A23" s="22" t="str">
        <x:v>CM-DIM-TW-DECO-TERR-H</x:v>
      </x:c>
      <x:c r="B23" s="22" t="str">
        <x:v>SER-LIX-TW</x:v>
      </x:c>
      <x:c r="C23" s="22" t="str">
        <x:v>DECORATIVE|VENT_DOOR|TERRACE_DOOR</x:v>
      </x:c>
      <x:c r="D23" s="22" t="str">
        <x:v>TERRACE</x:v>
      </x:c>
      <x:c r="E23" s="22" t="str">
        <x:v>MH</x:v>
      </x:c>
      <x:c r="F23" s="22" t="str">
        <x:v>new_sash_H</x:v>
      </x:c>
      <x:c r="G23" s="22" t="str">
        <x:v>+</x:v>
      </x:c>
      <x:c r="H23" s="22" t="str">
        <x:v>68</x:v>
      </x:c>
      <x:c r="I23" s="22" t="str">
        <x:v>MH = H + 68</x:v>
      </x:c>
      <x:c r="J23" s="22" t="str">
        <x:v>COMPLETE</x:v>
      </x:c>
      <x:c r="K23" s="22" t="str">
        <x:v>CM-EV-010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6" hidden="0" customWidth="1"/>
    <x:col min="4" max="4" width="36" hidden="0" customWidth="1"/>
    <x:col min="5" max="5" width="24" hidden="0" customWidth="1"/>
    <x:col min="6" max="6" width="30" hidden="0" customWidth="1"/>
    <x:col min="7" max="7" width="24" hidden="0" customWidth="1"/>
  </x:cols>
  <x:sheetData>
    <x:row r="1">
      <x:c r="A1" s="4" t="str">
        <x:v>06_色｜責任分界</x:v>
      </x:c>
      <x:c r="B1" s="4"/>
      <x:c r="C1" s="4"/>
      <x:c r="D1" s="4"/>
      <x:c r="E1" s="4"/>
      <x:c r="F1" s="4"/>
      <x:c r="G1" s="4"/>
    </x:row>
    <x:row r="2">
      <x:c r="A2" s="17" t="str">
        <x:v>color_rule_id</x:v>
      </x:c>
      <x:c r="B2" s="17" t="str">
        <x:v>field</x:v>
      </x:c>
      <x:c r="C2" s="17" t="str">
        <x:v>value/source</x:v>
      </x:c>
      <x:c r="D2" s="17" t="str">
        <x:v>master</x:v>
      </x:c>
      <x:c r="E2" s="17" t="str">
        <x:v>selection</x:v>
      </x:c>
      <x:c r="F2" s="17" t="str">
        <x:v>status</x:v>
      </x:c>
      <x:c r="G2" s="17" t="str">
        <x:v>evidence</x:v>
      </x:c>
    </x:row>
    <x:row r="3">
      <x:c r="A3" s="22" t="str">
        <x:v>CM-COLOR-SASH</x:v>
      </x:c>
      <x:c r="B3" s="22" t="str">
        <x:v>referenced_sash_color</x:v>
      </x:c>
      <x:c r="C3" s="22" t="str">
        <x:v>REFERENCE</x:v>
      </x:c>
      <x:c r="D3" s="22" t="str">
        <x:v>各参照商品正本</x:v>
      </x:c>
      <x:c r="E3" s="22" t="str">
        <x:v>REFERENCE_ONLY</x:v>
      </x:c>
      <x:c r="F3" s="22" t="str">
        <x:v>COMPLETE</x:v>
      </x:c>
      <x:c r="G3" s="22" t="str">
        <x:v>CM-EV-003～006</x:v>
      </x:c>
    </x:row>
    <x:row r="4">
      <x:c r="A4" s="22" t="str">
        <x:v>CM-COLOR-CUT-T</x:v>
      </x:c>
      <x:c r="B4" s="22" t="str">
        <x:v>cut_mall_color</x:v>
      </x:c>
      <x:c r="C4" s="22" t="str">
        <x:v>T</x:v>
      </x:c>
      <x:c r="D4" s="22" t="str">
        <x:v>ブラック</x:v>
      </x:c>
      <x:c r="E4" s="22" t="str">
        <x:v>USER_SELECT</x:v>
      </x:c>
      <x:c r="F4" s="22" t="str">
        <x:v>COMPLETE</x:v>
      </x:c>
      <x:c r="G4" s="22" t="str">
        <x:v>CM-EV-015</x:v>
      </x:c>
    </x:row>
    <x:row r="5">
      <x:c r="A5" s="22" t="str">
        <x:v>CM-COLOR-CUT-G</x:v>
      </x:c>
      <x:c r="B5" s="22" t="str">
        <x:v>cut_mall_color</x:v>
      </x:c>
      <x:c r="C5" s="22" t="str">
        <x:v>G</x:v>
      </x:c>
      <x:c r="D5" s="22" t="str">
        <x:v>オータムブラウン</x:v>
      </x:c>
      <x:c r="E5" s="22" t="str">
        <x:v>USER_SELECT</x:v>
      </x:c>
      <x:c r="F5" s="22" t="str">
        <x:v>COMPLETE</x:v>
      </x:c>
      <x:c r="G5" s="22" t="str">
        <x:v>CM-EV-015</x:v>
      </x:c>
    </x:row>
    <x:row r="6">
      <x:c r="A6" s="22" t="str">
        <x:v>CM-COLOR-CUT-K</x:v>
      </x:c>
      <x:c r="B6" s="22" t="str">
        <x:v>cut_mall_color</x:v>
      </x:c>
      <x:c r="C6" s="22" t="str">
        <x:v>K</x:v>
      </x:c>
      <x:c r="D6" s="22" t="str">
        <x:v>シャイングレー</x:v>
      </x:c>
      <x:c r="E6" s="22" t="str">
        <x:v>USER_SELECT</x:v>
      </x:c>
      <x:c r="F6" s="22" t="str">
        <x:v>COMPLETE</x:v>
      </x:c>
      <x:c r="G6" s="22" t="str">
        <x:v>CM-EV-015</x:v>
      </x:c>
    </x:row>
    <x:row r="7">
      <x:c r="A7" s="22" t="str">
        <x:v>CM-COLOR-CUT-D</x:v>
      </x:c>
      <x:c r="B7" s="22" t="str">
        <x:v>cut_mall_color</x:v>
      </x:c>
      <x:c r="C7" s="22" t="str">
        <x:v>D</x:v>
      </x:c>
      <x:c r="D7" s="22" t="str">
        <x:v>ナチュラルシルバー</x:v>
      </x:c>
      <x:c r="E7" s="22" t="str">
        <x:v>USER_SELECT</x:v>
      </x:c>
      <x:c r="F7" s="22" t="str">
        <x:v>COMPLETE</x:v>
      </x:c>
      <x:c r="G7" s="22" t="str">
        <x:v>CM-EV-015</x:v>
      </x:c>
    </x:row>
    <x:row r="8">
      <x:c r="A8" s="22" t="str">
        <x:v>CM-COLOR-CUT-W</x:v>
      </x:c>
      <x:c r="B8" s="22" t="str">
        <x:v>cut_mall_color</x:v>
      </x:c>
      <x:c r="C8" s="22" t="str">
        <x:v>W</x:v>
      </x:c>
      <x:c r="D8" s="22" t="str">
        <x:v>ホワイト</x:v>
      </x:c>
      <x:c r="E8" s="22" t="str">
        <x:v>USER_SELECT</x:v>
      </x:c>
      <x:c r="F8" s="22" t="str">
        <x:v>COMPLETE</x:v>
      </x:c>
      <x:c r="G8" s="22" t="str">
        <x:v>CM-EV-015</x:v>
      </x:c>
    </x:row>
    <x:row r="9">
      <x:c r="A9" s="22" t="str">
        <x:v>CM-COLOR-WF-D</x:v>
      </x:c>
      <x:c r="B9" s="22" t="str">
        <x:v>cut_mall_window_frame_color</x:v>
      </x:c>
      <x:c r="C9" s="22" t="str">
        <x:v>D</x:v>
      </x:c>
      <x:c r="D9" s="22" t="str">
        <x:v>クリエダーク</x:v>
      </x:c>
      <x:c r="E9" s="22" t="str">
        <x:v>USER_SELECT</x:v>
      </x:c>
      <x:c r="F9" s="22" t="str">
        <x:v>COMPLETE</x:v>
      </x:c>
      <x:c r="G9" s="22" t="str">
        <x:v>CM-EV-015</x:v>
      </x:c>
    </x:row>
    <x:row r="10">
      <x:c r="A10" s="22" t="str">
        <x:v>CM-COLOR-WF-Y</x:v>
      </x:c>
      <x:c r="B10" s="22" t="str">
        <x:v>cut_mall_window_frame_color</x:v>
      </x:c>
      <x:c r="C10" s="22" t="str">
        <x:v>Y</x:v>
      </x:c>
      <x:c r="D10" s="22" t="str">
        <x:v>プレシャスホワイト</x:v>
      </x:c>
      <x:c r="E10" s="22" t="str">
        <x:v>USER_SELECT</x:v>
      </x:c>
      <x:c r="F10" s="22" t="str">
        <x:v>COMPLETE</x:v>
      </x:c>
      <x:c r="G10" s="22" t="str">
        <x:v>CM-EV-015</x:v>
      </x:c>
    </x:row>
    <x:row r="11">
      <x:c r="A11" s="22" t="str">
        <x:v>CM-COLOR-WF-M</x:v>
      </x:c>
      <x:c r="B11" s="22" t="str">
        <x:v>cut_mall_window_frame_color</x:v>
      </x:c>
      <x:c r="C11" s="22" t="str">
        <x:v>M</x:v>
      </x:c>
      <x:c r="D11" s="22" t="str">
        <x:v>クリエモカ</x:v>
      </x:c>
      <x:c r="E11" s="22" t="str">
        <x:v>USER_SELECT</x:v>
      </x:c>
      <x:c r="F11" s="22" t="str">
        <x:v>COMPLETE</x:v>
      </x:c>
      <x:c r="G11" s="22" t="str">
        <x:v>CM-EV-015</x:v>
      </x:c>
    </x:row>
    <x:row r="12">
      <x:c r="A12" s="22" t="str">
        <x:v>CM-COLOR-WF-L</x:v>
      </x:c>
      <x:c r="B12" s="22" t="str">
        <x:v>cut_mall_window_frame_color</x:v>
      </x:c>
      <x:c r="C12" s="22" t="str">
        <x:v>L</x:v>
      </x:c>
      <x:c r="D12" s="22" t="str">
        <x:v>クリエラスク</x:v>
      </x:c>
      <x:c r="E12" s="22" t="str">
        <x:v>USER_SELECT</x:v>
      </x:c>
      <x:c r="F12" s="22" t="str">
        <x:v>COMPLETE</x:v>
      </x:c>
      <x:c r="G12" s="22" t="str">
        <x:v>CM-EV-015</x:v>
      </x:c>
    </x:row>
    <x:row r="13">
      <x:c r="A13" s="22" t="str">
        <x:v>CM-COLOR-WF-P</x:v>
      </x:c>
      <x:c r="B13" s="22" t="str">
        <x:v>cut_mall_window_frame_color</x:v>
      </x:c>
      <x:c r="C13" s="22" t="str">
        <x:v>P</x:v>
      </x:c>
      <x:c r="D13" s="22" t="str">
        <x:v>クリエペール</x:v>
      </x:c>
      <x:c r="E13" s="22" t="str">
        <x:v>USER_SELECT</x:v>
      </x:c>
      <x:c r="F13" s="22" t="str">
        <x:v>COMPLETE</x:v>
      </x:c>
      <x:c r="G13" s="22" t="str">
        <x:v>CM-EV-015</x:v>
      </x:c>
    </x:row>
    <x:row r="14">
      <x:c r="A14" s="22" t="str">
        <x:v>CM-COLOR-WF-WA</x:v>
      </x:c>
      <x:c r="B14" s="22" t="str">
        <x:v>cut_mall_window_frame_color</x:v>
      </x:c>
      <x:c r="C14" s="22" t="str">
        <x:v>WA</x:v>
      </x:c>
      <x:c r="D14" s="22" t="str">
        <x:v>クリエアイボリー</x:v>
      </x:c>
      <x:c r="E14" s="22" t="str">
        <x:v>USER_SELECT</x:v>
      </x:c>
      <x:c r="F14" s="22" t="str">
        <x:v>COMPLETE</x:v>
      </x:c>
      <x:c r="G14" s="22" t="str">
        <x:v>CM-EV-015</x:v>
      </x:c>
    </x:row>
    <x:row r="15">
      <x:c r="A15" s="22" t="str">
        <x:v>CM-COLOR-NEW-WF-Y</x:v>
      </x:c>
      <x:c r="B15" s="22" t="str">
        <x:v>new_construction_window_frame_color</x:v>
      </x:c>
      <x:c r="C15" s="22" t="str">
        <x:v>Y</x:v>
      </x:c>
      <x:c r="D15" s="22" t="str">
        <x:v>プレシャスホワイト</x:v>
      </x:c>
      <x:c r="E15" s="22" t="str">
        <x:v>USER_SELECT</x:v>
      </x:c>
      <x:c r="F15" s="22" t="str">
        <x:v>COMPLETE</x:v>
      </x:c>
      <x:c r="G15" s="22" t="str">
        <x:v>CM-EV-015</x:v>
      </x:c>
    </x:row>
    <x:row r="16">
      <x:c r="A16" s="22" t="str">
        <x:v>CM-COLOR-NEW-WF-WA</x:v>
      </x:c>
      <x:c r="B16" s="22" t="str">
        <x:v>new_construction_window_frame_color</x:v>
      </x:c>
      <x:c r="C16" s="22" t="str">
        <x:v>WA</x:v>
      </x:c>
      <x:c r="D16" s="22" t="str">
        <x:v>クリエアイボリー</x:v>
      </x:c>
      <x:c r="E16" s="22" t="str">
        <x:v>USER_SELECT</x:v>
      </x:c>
      <x:c r="F16" s="22" t="str">
        <x:v>COMPLETE</x:v>
      </x:c>
      <x:c r="G16" s="22" t="str">
        <x:v>CM-EV-015</x:v>
      </x:c>
    </x:row>
    <x:row r="17">
      <x:c r="A17" s="22" t="str">
        <x:v>CM-COLOR-NEW-WF-VM</x:v>
      </x:c>
      <x:c r="B17" s="22" t="str">
        <x:v>new_construction_window_frame_color</x:v>
      </x:c>
      <x:c r="C17" s="22" t="str">
        <x:v>VM</x:v>
      </x:c>
      <x:c r="D17" s="22" t="str">
        <x:v>ブラック</x:v>
      </x:c>
      <x:c r="E17" s="22" t="str">
        <x:v>USER_SELECT</x:v>
      </x:c>
      <x:c r="F17" s="22" t="str">
        <x:v>COMPLETE</x:v>
      </x:c>
      <x:c r="G17" s="22" t="str">
        <x:v>CM-EV-015</x:v>
      </x:c>
    </x:row>
    <x:row r="18">
      <x:c r="A18" s="22" t="str">
        <x:v>CM-COLOR-NEW-WF-D</x:v>
      </x:c>
      <x:c r="B18" s="22" t="str">
        <x:v>new_construction_window_frame_color</x:v>
      </x:c>
      <x:c r="C18" s="22" t="str">
        <x:v>D</x:v>
      </x:c>
      <x:c r="D18" s="22" t="str">
        <x:v>クリエダーク</x:v>
      </x:c>
      <x:c r="E18" s="22" t="str">
        <x:v>USER_SELECT</x:v>
      </x:c>
      <x:c r="F18" s="22" t="str">
        <x:v>COMPLETE</x:v>
      </x:c>
      <x:c r="G18" s="22" t="str">
        <x:v>CM-EV-015</x:v>
      </x:c>
    </x:row>
    <x:row r="19">
      <x:c r="A19" s="22" t="str">
        <x:v>CM-COLOR-NEW-WF-M</x:v>
      </x:c>
      <x:c r="B19" s="22" t="str">
        <x:v>new_construction_window_frame_color</x:v>
      </x:c>
      <x:c r="C19" s="22" t="str">
        <x:v>M</x:v>
      </x:c>
      <x:c r="D19" s="22" t="str">
        <x:v>クリエモカ</x:v>
      </x:c>
      <x:c r="E19" s="22" t="str">
        <x:v>USER_SELECT</x:v>
      </x:c>
      <x:c r="F19" s="22" t="str">
        <x:v>COMPLETE</x:v>
      </x:c>
      <x:c r="G19" s="22" t="str">
        <x:v>CM-EV-015</x:v>
      </x:c>
    </x:row>
    <x:row r="20">
      <x:c r="A20" s="22" t="str">
        <x:v>CM-COLOR-NEW-WF-L</x:v>
      </x:c>
      <x:c r="B20" s="22" t="str">
        <x:v>new_construction_window_frame_color</x:v>
      </x:c>
      <x:c r="C20" s="22" t="str">
        <x:v>L</x:v>
      </x:c>
      <x:c r="D20" s="22" t="str">
        <x:v>クリエラスク</x:v>
      </x:c>
      <x:c r="E20" s="22" t="str">
        <x:v>USER_SELECT</x:v>
      </x:c>
      <x:c r="F20" s="22" t="str">
        <x:v>COMPLETE</x:v>
      </x:c>
      <x:c r="G20" s="22" t="str">
        <x:v>CM-EV-015</x:v>
      </x:c>
    </x:row>
    <x:row r="21">
      <x:c r="A21" s="22" t="str">
        <x:v>CM-COLOR-NEW-WF-P</x:v>
      </x:c>
      <x:c r="B21" s="22" t="str">
        <x:v>new_construction_window_frame_color</x:v>
      </x:c>
      <x:c r="C21" s="22" t="str">
        <x:v>P</x:v>
      </x:c>
      <x:c r="D21" s="22" t="str">
        <x:v>クリエペール</x:v>
      </x:c>
      <x:c r="E21" s="22" t="str">
        <x:v>USER_SELECT</x:v>
      </x:c>
      <x:c r="F21" s="22" t="str">
        <x:v>COMPLETE</x:v>
      </x:c>
      <x:c r="G21" s="22" t="str">
        <x:v>CM-EV-015</x:v>
      </x:c>
    </x:row>
    <x:row r="22">
      <x:c r="A22" s="22" t="str">
        <x:v>CM-COLOR-ANG-T</x:v>
      </x:c>
      <x:c r="B22" s="22" t="str">
        <x:v>interior_adjustment_angle_color</x:v>
      </x:c>
      <x:c r="C22" s="22" t="str">
        <x:v>T</x:v>
      </x:c>
      <x:c r="D22" s="22" t="str">
        <x:v>ブラック</x:v>
      </x:c>
      <x:c r="E22" s="22" t="str">
        <x:v>USER_SELECT</x:v>
      </x:c>
      <x:c r="F22" s="22" t="str">
        <x:v>COMPLETE</x:v>
      </x:c>
      <x:c r="G22" s="22" t="str">
        <x:v>CM-EV-015</x:v>
      </x:c>
    </x:row>
    <x:row r="23">
      <x:c r="A23" s="22" t="str">
        <x:v>CM-COLOR-ANG-G</x:v>
      </x:c>
      <x:c r="B23" s="22" t="str">
        <x:v>interior_adjustment_angle_color</x:v>
      </x:c>
      <x:c r="C23" s="22" t="str">
        <x:v>G</x:v>
      </x:c>
      <x:c r="D23" s="22" t="str">
        <x:v>オータムブラウン</x:v>
      </x:c>
      <x:c r="E23" s="22" t="str">
        <x:v>USER_SELECT</x:v>
      </x:c>
      <x:c r="F23" s="22" t="str">
        <x:v>COMPLETE</x:v>
      </x:c>
      <x:c r="G23" s="22" t="str">
        <x:v>CM-EV-015</x:v>
      </x:c>
    </x:row>
    <x:row r="24">
      <x:c r="A24" s="22" t="str">
        <x:v>CM-COLOR-ANG-K</x:v>
      </x:c>
      <x:c r="B24" s="22" t="str">
        <x:v>interior_adjustment_angle_color</x:v>
      </x:c>
      <x:c r="C24" s="22" t="str">
        <x:v>K</x:v>
      </x:c>
      <x:c r="D24" s="22" t="str">
        <x:v>シャイングレー</x:v>
      </x:c>
      <x:c r="E24" s="22" t="str">
        <x:v>USER_SELECT</x:v>
      </x:c>
      <x:c r="F24" s="22" t="str">
        <x:v>COMPLETE</x:v>
      </x:c>
      <x:c r="G24" s="22" t="str">
        <x:v>CM-EV-015</x:v>
      </x:c>
    </x:row>
    <x:row r="25">
      <x:c r="A25" s="22" t="str">
        <x:v>CM-COLOR-ANG-D</x:v>
      </x:c>
      <x:c r="B25" s="22" t="str">
        <x:v>interior_adjustment_angle_color</x:v>
      </x:c>
      <x:c r="C25" s="22" t="str">
        <x:v>D</x:v>
      </x:c>
      <x:c r="D25" s="22" t="str">
        <x:v>ナチュラルシルバー</x:v>
      </x:c>
      <x:c r="E25" s="22" t="str">
        <x:v>USER_SELECT</x:v>
      </x:c>
      <x:c r="F25" s="22" t="str">
        <x:v>COMPLETE</x:v>
      </x:c>
      <x:c r="G25" s="22" t="str">
        <x:v>CM-EV-015</x:v>
      </x:c>
    </x:row>
    <x:row r="26">
      <x:c r="A26" s="22" t="str">
        <x:v>CM-COLOR-ANG-W</x:v>
      </x:c>
      <x:c r="B26" s="22" t="str">
        <x:v>interior_adjustment_angle_color</x:v>
      </x:c>
      <x:c r="C26" s="22" t="str">
        <x:v>W</x:v>
      </x:c>
      <x:c r="D26" s="22" t="str">
        <x:v>ホワイト</x:v>
      </x:c>
      <x:c r="E26" s="22" t="str">
        <x:v>USER_SELECT</x:v>
      </x:c>
      <x:c r="F26" s="22" t="str">
        <x:v>COMPLETE</x:v>
      </x:c>
      <x:c r="G26" s="22" t="str">
        <x:v>CM-EV-015</x:v>
      </x:c>
    </x:row>
    <x:row r="27">
      <x:c r="A27" s="22" t="str">
        <x:v>CM-COLOR-ANG-C</x:v>
      </x:c>
      <x:c r="B27" s="22" t="str">
        <x:v>interior_adjustment_angle_color</x:v>
      </x:c>
      <x:c r="C27" s="22" t="str">
        <x:v>C</x:v>
      </x:c>
      <x:c r="D27" s="22" t="str">
        <x:v>クリエモカP</x:v>
      </x:c>
      <x:c r="E27" s="22" t="str">
        <x:v>USER_SELECT</x:v>
      </x:c>
      <x:c r="F27" s="22" t="str">
        <x:v>COMPLETE</x:v>
      </x:c>
      <x:c r="G27" s="22" t="str">
        <x:v>CM-EV-015</x:v>
      </x:c>
    </x:row>
    <x:row r="28">
      <x:c r="A28" s="22" t="str">
        <x:v>CM-COLOR-ANG-B</x:v>
      </x:c>
      <x:c r="B28" s="22" t="str">
        <x:v>interior_adjustment_angle_color</x:v>
      </x:c>
      <x:c r="C28" s="22" t="str">
        <x:v>B</x:v>
      </x:c>
      <x:c r="D28" s="22" t="str">
        <x:v>クリエラスクP</x:v>
      </x:c>
      <x:c r="E28" s="22" t="str">
        <x:v>USER_SELECT</x:v>
      </x:c>
      <x:c r="F28" s="22" t="str">
        <x:v>COMPLETE</x:v>
      </x:c>
      <x:c r="G28" s="22" t="str">
        <x:v>CM-EV-015</x:v>
      </x:c>
    </x:row>
    <x:row r="29">
      <x:c r="A29" s="22" t="str">
        <x:v>CM-COLOR-ANG-P</x:v>
      </x:c>
      <x:c r="B29" s="22" t="str">
        <x:v>interior_adjustment_angle_color</x:v>
      </x:c>
      <x:c r="C29" s="22" t="str">
        <x:v>P</x:v>
      </x:c>
      <x:c r="D29" s="22" t="str">
        <x:v>クリエペールP</x:v>
      </x:c>
      <x:c r="E29" s="22" t="str">
        <x:v>USER_SELECT</x:v>
      </x:c>
      <x:c r="F29" s="22" t="str">
        <x:v>COMPLETE</x:v>
      </x:c>
      <x:c r="G29" s="22" t="str">
        <x:v>CM-EV-015</x:v>
      </x:c>
    </x:row>
    <x:row r="30">
      <x:c r="A30" s="22" t="str">
        <x:v>CM-COLOR-ANG-F</x:v>
      </x:c>
      <x:c r="B30" s="22" t="str">
        <x:v>interior_adjustment_angle_color</x:v>
      </x:c>
      <x:c r="C30" s="22" t="str">
        <x:v>F</x:v>
      </x:c>
      <x:c r="D30" s="22" t="str">
        <x:v>プレシャスホワイトP</x:v>
      </x:c>
      <x:c r="E30" s="22" t="str">
        <x:v>USER_SELECT</x:v>
      </x:c>
      <x:c r="F30" s="22" t="str">
        <x:v>COMPLETE</x:v>
      </x:c>
      <x:c r="G30" s="22" t="str">
        <x:v>CM-EV-015</x:v>
      </x:c>
    </x:row>
    <x:row r="31">
      <x:c r="A31" s="22"/>
      <x:c r="B31" s="22"/>
      <x:c r="C31" s="22"/>
      <x:c r="D31" s="22"/>
      <x:c r="E31" s="22"/>
      <x:c r="F31" s="22"/>
      <x:c r="G31" s="22"/>
    </x:row>
    <x:row r="32">
      <x:c r="A32" s="22"/>
      <x:c r="B32" s="22"/>
      <x:c r="C32" s="22"/>
      <x:c r="D32" s="22"/>
      <x:c r="E32" s="22"/>
      <x:c r="F32" s="22"/>
      <x:c r="G32" s="22"/>
    </x:row>
  </x:sheetData>
  <x:mergeCells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66" hidden="0" customWidth="1"/>
    <x:col min="4" max="4" width="24" hidden="0" customWidth="1"/>
    <x:col min="5" max="5" width="18" hidden="0" customWidth="1"/>
    <x:col min="6" max="6" width="24" hidden="0" customWidth="1"/>
  </x:cols>
  <x:sheetData>
    <x:row r="1">
      <x:c r="A1" s="4" t="str">
        <x:v>07_網戸参照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scope</x:v>
      </x:c>
      <x:c r="C2" s="17" t="str">
        <x:v>rule</x:v>
      </x:c>
      <x:c r="D2" s="17" t="str">
        <x:v>action</x:v>
      </x:c>
      <x:c r="E2" s="17" t="str">
        <x:v>status</x:v>
      </x:c>
      <x:c r="F2" s="17" t="str">
        <x:v>evidence</x:v>
      </x:c>
    </x:row>
    <x:row r="3">
      <x:c r="A3" s="22" t="str">
        <x:v>CM-SCREEN-01</x:v>
      </x:c>
      <x:c r="B3" s="22" t="str">
        <x:v>ALL</x:v>
      </x:c>
      <x:c r="C3" s="22" t="str">
        <x:v>参照商品正本のscreen rule</x:v>
      </x:c>
      <x:c r="D3" s="22" t="str">
        <x:v>REFERENCE_ONLY</x:v>
      </x:c>
      <x:c r="E3" s="22" t="str">
        <x:v>COMPLETE</x:v>
      </x:c>
      <x:c r="F3" s="22" t="str">
        <x:v>CM-EV-003～006</x:v>
      </x:c>
    </x:row>
    <x:row r="4">
      <x:c r="A4" s="22" t="str">
        <x:v>CM-SCREEN-02</x:v>
      </x:c>
      <x:c r="B4" s="22" t="str">
        <x:v>frame_mounted_grille_conflict</x:v>
      </x:c>
      <x:c r="C4" s="22" t="str">
        <x:v>CUT-MALL固有干渉だけローカル制限</x:v>
      </x:c>
      <x:c r="D4" s="22" t="str">
        <x:v>HIDE</x:v>
      </x:c>
      <x:c r="E4" s="22" t="str">
        <x:v>COMPLETE</x:v>
      </x:c>
      <x:c r="F4" s="22" t="str">
        <x:v>CM-EV-013</x:v>
      </x:c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66" hidden="0" customWidth="1"/>
    <x:col min="4" max="4" width="24" hidden="0" customWidth="1"/>
    <x:col min="5" max="5" width="32" hidden="0" customWidth="1"/>
    <x:col min="6" max="6" width="24" hidden="0" customWidth="1"/>
  </x:cols>
  <x:sheetData>
    <x:row r="1">
      <x:c r="A1" s="4" t="str">
        <x:v>08_ガラス参照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scope</x:v>
      </x:c>
      <x:c r="C2" s="17" t="str">
        <x:v>rule</x:v>
      </x:c>
      <x:c r="D2" s="17" t="str">
        <x:v>action</x:v>
      </x:c>
      <x:c r="E2" s="17" t="str">
        <x:v>status</x:v>
      </x:c>
      <x:c r="F2" s="17" t="str">
        <x:v>evidence</x:v>
      </x:c>
    </x:row>
    <x:row r="3">
      <x:c r="A3" s="22" t="str">
        <x:v>CM-GLASS-01</x:v>
      </x:c>
      <x:c r="B3" s="22" t="str">
        <x:v>ALL</x:v>
      </x:c>
      <x:c r="C3" s="22" t="str">
        <x:v>参照商品正本のglass rule</x:v>
      </x:c>
      <x:c r="D3" s="22" t="str">
        <x:v>REFERENCE_ONLY</x:v>
      </x:c>
      <x:c r="E3" s="22" t="str">
        <x:v>COMPLETE</x:v>
      </x:c>
      <x:c r="F3" s="22" t="str">
        <x:v>CM-EV-003～006</x:v>
      </x:c>
    </x:row>
    <x:row r="4">
      <x:c r="A4" s="22" t="str">
        <x:v>CM-GLASS-02</x:v>
      </x:c>
      <x:c r="B4" s="22" t="str">
        <x:v>wind/area/weight</x:v>
      </x:c>
      <x:c r="C4" s="22" t="str">
        <x:v>特殊性能境界</x:v>
      </x:c>
      <x:c r="D4" s="22" t="str">
        <x:v>EXTERNAL_CHECK</x:v>
      </x:c>
      <x:c r="E4" s="22" t="str">
        <x:v>COMPLETE_WITH_EXTERNAL_CHECK</x:v>
      </x:c>
      <x:c r="F4" s="22" t="str">
        <x:v>CM-EV-001</x:v>
      </x:c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6" hidden="0" customWidth="1"/>
    <x:col min="4" max="4" width="44" hidden="0" customWidth="1"/>
    <x:col min="5" max="5" width="28" hidden="0" customWidth="1"/>
    <x:col min="6" max="6" width="18" hidden="0" customWidth="1"/>
    <x:col min="7" max="7" width="24" hidden="0" customWidth="1"/>
  </x:cols>
  <x:sheetData>
    <x:row r="1">
      <x:c r="A1" s="4" t="str">
        <x:v>09_施工部材｜RPL_CUT_MALL固有</x:v>
      </x:c>
      <x:c r="B1" s="4"/>
      <x:c r="C1" s="4"/>
      <x:c r="D1" s="4"/>
      <x:c r="E1" s="4"/>
      <x:c r="F1" s="4"/>
      <x:c r="G1" s="4"/>
    </x:row>
    <x:row r="2">
      <x:c r="A2" s="17" t="str">
        <x:v>part_id</x:v>
      </x:c>
      <x:c r="B2" s="17" t="str">
        <x:v>part_name</x:v>
      </x:c>
      <x:c r="C2" s="17" t="str">
        <x:v>role</x:v>
      </x:c>
      <x:c r="D2" s="17" t="str">
        <x:v>condition</x:v>
      </x:c>
      <x:c r="E2" s="17" t="str">
        <x:v>resolution</x:v>
      </x:c>
      <x:c r="F2" s="17" t="str">
        <x:v>status</x:v>
      </x:c>
      <x:c r="G2" s="17" t="str">
        <x:v>evidence</x:v>
      </x:c>
    </x:row>
    <x:row r="3">
      <x:c r="A3" s="22" t="str">
        <x:v>CM-PART-MALL</x:v>
      </x:c>
      <x:c r="B3" s="22" t="str">
        <x:v>汎用カットモール</x:v>
      </x:c>
      <x:c r="C3" s="22" t="str">
        <x:v>SYSTEM_REQUIRED</x:v>
      </x:c>
      <x:c r="D3" s="22" t="str">
        <x:v>ALL</x:v>
      </x:c>
      <x:c r="E3" s="22" t="str">
        <x:v>外周仕上げ材</x:v>
      </x:c>
      <x:c r="F3" s="22" t="str">
        <x:v>COMPLETE</x:v>
      </x:c>
      <x:c r="G3" s="22" t="str">
        <x:v>CM-EV-002,007</x:v>
      </x:c>
    </x:row>
    <x:row r="4">
      <x:c r="A4" s="22" t="str">
        <x:v>CM-PART-TAPE</x:v>
      </x:c>
      <x:c r="B4" s="22" t="str">
        <x:v>アルミ箔付防水テープ</x:v>
      </x:c>
      <x:c r="C4" s="22" t="str">
        <x:v>SYSTEM_REQUIRED</x:v>
      </x:c>
      <x:c r="D4" s="22" t="str">
        <x:v>ALL</x:v>
      </x:c>
      <x:c r="E4" s="22" t="str">
        <x:v>止水部材</x:v>
      </x:c>
      <x:c r="F4" s="22" t="str">
        <x:v>COMPLETE</x:v>
      </x:c>
      <x:c r="G4" s="22" t="str">
        <x:v>CM-EV-007,008</x:v>
      </x:c>
    </x:row>
    <x:row r="5">
      <x:c r="A5" s="22" t="str">
        <x:v>CM-PART-DRYSEAL</x:v>
      </x:c>
      <x:c r="B5" s="22" t="str">
        <x:v>乾式シーリング材</x:v>
      </x:c>
      <x:c r="C5" s="22" t="str">
        <x:v>CONDITIONAL_REQUIRED</x:v>
      </x:c>
      <x:c r="D5" s="22" t="str">
        <x:v>一次止水=乾式</x:v>
      </x:c>
      <x:c r="E5" s="22" t="str">
        <x:v>AUTO_RESOLVED</x:v>
      </x:c>
      <x:c r="F5" s="22" t="str">
        <x:v>COMPLETE</x:v>
      </x:c>
      <x:c r="G5" s="22" t="str">
        <x:v>CM-EV-007</x:v>
      </x:c>
    </x:row>
    <x:row r="6">
      <x:c r="A6" s="22" t="str">
        <x:v>CM-PART-SEAL</x:v>
      </x:c>
      <x:c r="B6" s="22" t="str">
        <x:v>シーリング</x:v>
      </x:c>
      <x:c r="C6" s="22" t="str">
        <x:v>CONDITIONAL_REQUIRED</x:v>
      </x:c>
      <x:c r="D6" s="22" t="str">
        <x:v>一次止水=シーリング</x:v>
      </x:c>
      <x:c r="E6" s="22" t="str">
        <x:v>AUTO_RESOLVED</x:v>
      </x:c>
      <x:c r="F6" s="22" t="str">
        <x:v>COMPLETE</x:v>
      </x:c>
      <x:c r="G6" s="22" t="str">
        <x:v>CM-EV-007,008</x:v>
      </x:c>
    </x:row>
    <x:row r="7">
      <x:c r="A7" s="22" t="str">
        <x:v>CM-PART-ANGLE-COVER</x:v>
      </x:c>
      <x:c r="B7" s="22" t="str">
        <x:v>サーモス用アングルカバー</x:v>
      </x:c>
      <x:c r="C7" s="22" t="str">
        <x:v>CONDITIONAL_REQUIRED</x:v>
      </x:c>
      <x:c r="D7" s="22" t="str">
        <x:v>サーモス系+対象内装納まり</x:v>
      </x:c>
      <x:c r="E7" s="22" t="str">
        <x:v>AUTO_RESOLVED</x:v>
      </x:c>
      <x:c r="F7" s="22" t="str">
        <x:v>COMPLETE</x:v>
      </x:c>
      <x:c r="G7" s="22" t="str">
        <x:v>CM-EV-014</x:v>
      </x:c>
    </x:row>
    <x:row r="8">
      <x:c r="A8" s="22" t="str">
        <x:v>CM-PART-ADJ-ANGLE</x:v>
      </x:c>
      <x:c r="B8" s="22" t="str">
        <x:v>内装調整アングル</x:v>
      </x:c>
      <x:c r="C8" s="22" t="str">
        <x:v>CONDITIONAL_REQUIRED</x:v>
      </x:c>
      <x:c r="D8" s="22" t="str">
        <x:v>対象内装納まり</x:v>
      </x:c>
      <x:c r="E8" s="22" t="str">
        <x:v>AUTO_RESOLVED</x:v>
      </x:c>
      <x:c r="F8" s="22" t="str">
        <x:v>COMPLETE</x:v>
      </x:c>
      <x:c r="G8" s="22" t="str">
        <x:v>CM-EV-014</x:v>
      </x:c>
    </x:row>
    <x:row r="9">
      <x:c r="A9" s="22" t="str">
        <x:v>CM-PART-WINFRAME</x:v>
      </x:c>
      <x:c r="B9" s="22" t="str">
        <x:v>カットモール用窓枠</x:v>
      </x:c>
      <x:c r="C9" s="22" t="str">
        <x:v>CONDITIONAL_REQUIRED</x:v>
      </x:c>
      <x:c r="D9" s="22" t="str">
        <x:v>対象内装納まり</x:v>
      </x:c>
      <x:c r="E9" s="22" t="str">
        <x:v>AUTO_RESOLVED</x:v>
      </x:c>
      <x:c r="F9" s="22" t="str">
        <x:v>COMPLETE</x:v>
      </x:c>
      <x:c r="G9" s="22" t="str">
        <x:v>CM-EV-014</x:v>
      </x:c>
    </x:row>
  </x:sheetData>
  <x:mergeCells>
    <x:mergeCell ref="A1:G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30" hidden="0" customWidth="1"/>
    <x:col min="4" max="4" width="34" hidden="0" customWidth="1"/>
    <x:col min="5" max="5" width="18" hidden="0" customWidth="1"/>
    <x:col min="6" max="6" width="24" hidden="0" customWidth="1"/>
  </x:cols>
  <x:sheetData>
    <x:row r="1">
      <x:c r="A1" s="4" t="str">
        <x:v>09A_OP依存関係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condition</x:v>
      </x:c>
      <x:c r="C2" s="17" t="str">
        <x:v>target</x:v>
      </x:c>
      <x:c r="D2" s="17" t="str">
        <x:v>result</x:v>
      </x:c>
      <x:c r="E2" s="17" t="str">
        <x:v>status</x:v>
      </x:c>
      <x:c r="F2" s="17" t="str">
        <x:v>evidence</x:v>
      </x:c>
    </x:row>
    <x:row r="3">
      <x:c r="A3" s="22" t="str">
        <x:v>CM-DEP-01</x:v>
      </x:c>
      <x:c r="B3" s="22" t="str">
        <x:v>building_structure != 木造</x:v>
      </x:c>
      <x:c r="C3" s="22" t="str">
        <x:v>RPL_CUT_MALL</x:v>
      </x:c>
      <x:c r="D3" s="22" t="str">
        <x:v>HIDE</x:v>
      </x:c>
      <x:c r="E3" s="22" t="str">
        <x:v>COMPLETE</x:v>
      </x:c>
      <x:c r="F3" s="22" t="str">
        <x:v>CM-EV-011</x:v>
      </x:c>
    </x:row>
    <x:row r="4">
      <x:c r="A4" s="22" t="str">
        <x:v>CM-DEP-02</x:v>
      </x:c>
      <x:c r="B4" s="22" t="str">
        <x:v>floor_detail = 土間納まり</x:v>
      </x:c>
      <x:c r="C4" s="22" t="str">
        <x:v>RPL_CUT_MALL</x:v>
      </x:c>
      <x:c r="D4" s="22" t="str">
        <x:v>HIDE</x:v>
      </x:c>
      <x:c r="E4" s="22" t="str">
        <x:v>COMPLETE</x:v>
      </x:c>
      <x:c r="F4" s="22" t="str">
        <x:v>CM-EV-011</x:v>
      </x:c>
    </x:row>
    <x:row r="5">
      <x:c r="A5" s="22" t="str">
        <x:v>CM-DEP-03</x:v>
      </x:c>
      <x:c r="B5" s="22" t="str">
        <x:v>new_sash_size_relation = smaller</x:v>
      </x:c>
      <x:c r="C5" s="22" t="str">
        <x:v>candidate</x:v>
      </x:c>
      <x:c r="D5" s="22" t="str">
        <x:v>REJECT</x:v>
      </x:c>
      <x:c r="E5" s="22" t="str">
        <x:v>COMPLETE</x:v>
      </x:c>
      <x:c r="F5" s="22" t="str">
        <x:v>CM-EV-013</x:v>
      </x:c>
    </x:row>
    <x:row r="6">
      <x:c r="A6" s="22" t="str">
        <x:v>CM-DEP-04</x:v>
      </x:c>
      <x:c r="B6" s="22" t="str">
        <x:v>new_sash_option = 枠付面格子</x:v>
      </x:c>
      <x:c r="C6" s="22" t="str">
        <x:v>option</x:v>
      </x:c>
      <x:c r="D6" s="22" t="str">
        <x:v>HIDE</x:v>
      </x:c>
      <x:c r="E6" s="22" t="str">
        <x:v>COMPLETE</x:v>
      </x:c>
      <x:c r="F6" s="22" t="str">
        <x:v>CM-EV-013</x:v>
      </x:c>
    </x:row>
    <x:row r="7">
      <x:c r="A7" s="22" t="str">
        <x:v>CM-DEP-05</x:v>
      </x:c>
      <x:c r="B7" s="22" t="str">
        <x:v>existing=shutter</x:v>
      </x:c>
      <x:c r="C7" s="22" t="str">
        <x:v>new_window</x:v>
      </x:c>
      <x:c r="D7" s="22" t="str">
        <x:v>allow_only SHUTTER</x:v>
      </x:c>
      <x:c r="E7" s="22" t="str">
        <x:v>COMPLETE</x:v>
      </x:c>
      <x:c r="F7" s="22" t="str">
        <x:v>CM-EV-002</x:v>
      </x:c>
    </x:row>
    <x:row r="8">
      <x:c r="A8" s="22" t="str">
        <x:v>CM-DEP-06</x:v>
      </x:c>
      <x:c r="B8" s="22" t="str">
        <x:v>existing=amado</x:v>
      </x:c>
      <x:c r="C8" s="22" t="str">
        <x:v>new_window</x:v>
      </x:c>
      <x:c r="D8" s="22" t="str">
        <x:v>allow_only AMADO</x:v>
      </x:c>
      <x:c r="E8" s="22" t="str">
        <x:v>COMPLETE</x:v>
      </x:c>
      <x:c r="F8" s="22" t="str">
        <x:v>CM-EV-002</x:v>
      </x:c>
    </x:row>
    <x:row r="9">
      <x:c r="A9" s="22" t="str">
        <x:v>CM-DEP-07</x:v>
      </x:c>
      <x:c r="B9" s="22" t="str">
        <x:v>primary_seal=dry</x:v>
      </x:c>
      <x:c r="C9" s="22" t="str">
        <x:v>CM-PART-DRYSEAL</x:v>
      </x:c>
      <x:c r="D9" s="22" t="str">
        <x:v>AUTO_RESOLVED</x:v>
      </x:c>
      <x:c r="E9" s="22" t="str">
        <x:v>COMPLETE</x:v>
      </x:c>
      <x:c r="F9" s="22" t="str">
        <x:v>CM-EV-007</x:v>
      </x:c>
    </x:row>
    <x:row r="10">
      <x:c r="A10" s="22" t="str">
        <x:v>CM-DEP-08</x:v>
      </x:c>
      <x:c r="B10" s="22" t="str">
        <x:v>primary_seal=sealant</x:v>
      </x:c>
      <x:c r="C10" s="22" t="str">
        <x:v>CM-PART-SEAL</x:v>
      </x:c>
      <x:c r="D10" s="22" t="str">
        <x:v>AUTO_RESOLVED</x:v>
      </x:c>
      <x:c r="E10" s="22" t="str">
        <x:v>COMPLETE</x:v>
      </x:c>
      <x:c r="F10" s="22" t="str">
        <x:v>CM-EV-008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24" hidden="0" customWidth="1"/>
    <x:col min="5" max="5" width="30" hidden="0" customWidth="1"/>
    <x:col min="6" max="6" width="18" hidden="0" customWidth="1"/>
    <x:col min="7" max="7" width="24" hidden="0" customWidth="1"/>
  </x:cols>
  <x:sheetData>
    <x:row r="1">
      <x:c r="A1" s="4" t="str">
        <x:v>10_適用条件</x:v>
      </x:c>
      <x:c r="B1" s="4"/>
      <x:c r="C1" s="4"/>
      <x:c r="D1" s="4"/>
      <x:c r="E1" s="4"/>
      <x:c r="F1" s="4"/>
      <x:c r="G1" s="4"/>
    </x:row>
    <x:row r="2">
      <x:c r="A2" s="17" t="str">
        <x:v>rule_id</x:v>
      </x:c>
      <x:c r="B2" s="17" t="str">
        <x:v>condition_type</x:v>
      </x:c>
      <x:c r="C2" s="17" t="str">
        <x:v>value</x:v>
      </x:c>
      <x:c r="D2" s="17" t="str">
        <x:v>result</x:v>
      </x:c>
      <x:c r="E2" s="17" t="str">
        <x:v>action</x:v>
      </x:c>
      <x:c r="F2" s="17" t="str">
        <x:v>status</x:v>
      </x:c>
      <x:c r="G2" s="17" t="str">
        <x:v>evidence</x:v>
      </x:c>
    </x:row>
    <x:row r="3">
      <x:c r="A3" s="22" t="str">
        <x:v>CM-AP-STRUCT-WOOD</x:v>
      </x:c>
      <x:c r="B3" s="22" t="str">
        <x:v>building_structure</x:v>
      </x:c>
      <x:c r="C3" s="22" t="str">
        <x:v>木造</x:v>
      </x:c>
      <x:c r="D3" s="22" t="str">
        <x:v>AVAILABLE</x:v>
      </x:c>
      <x:c r="E3" s="22" t="str">
        <x:v>SHOW</x:v>
      </x:c>
      <x:c r="F3" s="22" t="str">
        <x:v>COMPLETE</x:v>
      </x:c>
      <x:c r="G3" s="22" t="str">
        <x:v>CM-EV-011</x:v>
      </x:c>
    </x:row>
    <x:row r="4">
      <x:c r="A4" s="22" t="str">
        <x:v>CM-AP-STRUCT-RC</x:v>
      </x:c>
      <x:c r="B4" s="22" t="str">
        <x:v>building_structure</x:v>
      </x:c>
      <x:c r="C4" s="22" t="str">
        <x:v>RC</x:v>
      </x:c>
      <x:c r="D4" s="22" t="str">
        <x:v>UNAVAILABLE</x:v>
      </x:c>
      <x:c r="E4" s="22" t="str">
        <x:v>HIDE</x:v>
      </x:c>
      <x:c r="F4" s="22" t="str">
        <x:v>COMPLETE</x:v>
      </x:c>
      <x:c r="G4" s="22" t="str">
        <x:v>CM-EV-011</x:v>
      </x:c>
    </x:row>
    <x:row r="5">
      <x:c r="A5" s="22" t="str">
        <x:v>CM-AP-STRUCT-ALC</x:v>
      </x:c>
      <x:c r="B5" s="22" t="str">
        <x:v>building_structure</x:v>
      </x:c>
      <x:c r="C5" s="22" t="str">
        <x:v>ALC</x:v>
      </x:c>
      <x:c r="D5" s="22" t="str">
        <x:v>UNAVAILABLE</x:v>
      </x:c>
      <x:c r="E5" s="22" t="str">
        <x:v>HIDE</x:v>
      </x:c>
      <x:c r="F5" s="22" t="str">
        <x:v>COMPLETE</x:v>
      </x:c>
      <x:c r="G5" s="22" t="str">
        <x:v>CM-EV-011</x:v>
      </x:c>
    </x:row>
    <x:row r="6">
      <x:c r="A6" s="22" t="str">
        <x:v>CM-AP-STRUCT-STEEL</x:v>
      </x:c>
      <x:c r="B6" s="22" t="str">
        <x:v>building_structure</x:v>
      </x:c>
      <x:c r="C6" s="22" t="str">
        <x:v>鉄骨</x:v>
      </x:c>
      <x:c r="D6" s="22" t="str">
        <x:v>UNAVAILABLE</x:v>
      </x:c>
      <x:c r="E6" s="22" t="str">
        <x:v>HIDE</x:v>
      </x:c>
      <x:c r="F6" s="22" t="str">
        <x:v>COMPLETE</x:v>
      </x:c>
      <x:c r="G6" s="22" t="str">
        <x:v>CM-EV-011</x:v>
      </x:c>
    </x:row>
    <x:row r="7">
      <x:c r="A7" s="22" t="str">
        <x:v>CM-AP-DOMA</x:v>
      </x:c>
      <x:c r="B7" s="22" t="str">
        <x:v>floor_detail</x:v>
      </x:c>
      <x:c r="C7" s="22" t="str">
        <x:v>土間納まり</x:v>
      </x:c>
      <x:c r="D7" s="22" t="str">
        <x:v>UNAVAILABLE</x:v>
      </x:c>
      <x:c r="E7" s="22" t="str">
        <x:v>HIDE</x:v>
      </x:c>
      <x:c r="F7" s="22" t="str">
        <x:v>COMPLETE</x:v>
      </x:c>
      <x:c r="G7" s="22" t="str">
        <x:v>CM-EV-011</x:v>
      </x:c>
    </x:row>
    <x:row r="8">
      <x:c r="A8" s="22" t="str">
        <x:v>CM-AP-EXTERNAL</x:v>
      </x:c>
      <x:c r="B8" s="22" t="str">
        <x:v>existing_sash_mount</x:v>
      </x:c>
      <x:c r="C8" s="22" t="str">
        <x:v>外付サッシ</x:v>
      </x:c>
      <x:c r="D8" s="22" t="str">
        <x:v>CONDITIONAL</x:v>
      </x:c>
      <x:c r="E8" s="22" t="str">
        <x:v>新設も外付型。正本・納まり要確認</x:v>
      </x:c>
      <x:c r="F8" s="22" t="str">
        <x:v>MANUAL_CHECK</x:v>
      </x:c>
      <x:c r="G8" s="22" t="str">
        <x:v>CM-EV-017</x:v>
      </x:c>
    </x:row>
    <x:row r="9">
      <x:c r="A9" s="22" t="str">
        <x:v>CM-AP-SAME</x:v>
      </x:c>
      <x:c r="B9" s="22" t="str">
        <x:v>new_sash_size_relation</x:v>
      </x:c>
      <x:c r="C9" s="22" t="str">
        <x:v>既設と同寸</x:v>
      </x:c>
      <x:c r="D9" s="22" t="str">
        <x:v>AVAILABLE</x:v>
      </x:c>
      <x:c r="E9" s="22" t="str">
        <x:v>SHOW</x:v>
      </x:c>
      <x:c r="F9" s="22" t="str">
        <x:v>COMPLETE</x:v>
      </x:c>
      <x:c r="G9" s="22" t="str">
        <x:v>CM-EV-013</x:v>
      </x:c>
    </x:row>
    <x:row r="10">
      <x:c r="A10" s="22" t="str">
        <x:v>CM-AP-LARGER</x:v>
      </x:c>
      <x:c r="B10" s="22" t="str">
        <x:v>new_sash_size_relation</x:v>
      </x:c>
      <x:c r="C10" s="22" t="str">
        <x:v>既設より大きい</x:v>
      </x:c>
      <x:c r="D10" s="22" t="str">
        <x:v>CONDITIONAL</x:v>
      </x:c>
      <x:c r="E10" s="22" t="str">
        <x:v>開口拡大工事必須</x:v>
      </x:c>
      <x:c r="F10" s="22" t="str">
        <x:v>COMPLETE</x:v>
      </x:c>
      <x:c r="G10" s="22" t="str">
        <x:v>CM-EV-013</x:v>
      </x:c>
    </x:row>
    <x:row r="11">
      <x:c r="A11" s="22" t="str">
        <x:v>CM-AP-SMALLER</x:v>
      </x:c>
      <x:c r="B11" s="22" t="str">
        <x:v>new_sash_size_relation</x:v>
      </x:c>
      <x:c r="C11" s="22" t="str">
        <x:v>既設より小さい</x:v>
      </x:c>
      <x:c r="D11" s="22" t="str">
        <x:v>UNAVAILABLE</x:v>
      </x:c>
      <x:c r="E11" s="22" t="str">
        <x:v>HIDE</x:v>
      </x:c>
      <x:c r="F11" s="22" t="str">
        <x:v>COMPLETE</x:v>
      </x:c>
      <x:c r="G11" s="22" t="str">
        <x:v>CM-EV-013</x:v>
      </x:c>
    </x:row>
    <x:row r="12">
      <x:c r="A12" s="22" t="str">
        <x:v>CM-AP-FRAME-GRILLE</x:v>
      </x:c>
      <x:c r="B12" s="22" t="str">
        <x:v>new_sash_option</x:v>
      </x:c>
      <x:c r="C12" s="22" t="str">
        <x:v>枠付面格子</x:v>
      </x:c>
      <x:c r="D12" s="22" t="str">
        <x:v>UNAVAILABLE</x:v>
      </x:c>
      <x:c r="E12" s="22" t="str">
        <x:v>HIDE</x:v>
      </x:c>
      <x:c r="F12" s="22" t="str">
        <x:v>COMPLETE</x:v>
      </x:c>
      <x:c r="G12" s="22" t="str">
        <x:v>CM-EV-013</x:v>
      </x:c>
    </x:row>
    <x:row r="13">
      <x:c r="A13" s="22" t="str">
        <x:v>CM-AP-WALLCUT</x:v>
      </x:c>
      <x:c r="B13" s="22" t="str">
        <x:v>wall_cut_position_mm</x:v>
      </x:c>
      <x:c r="C13" s="22" t="str">
        <x:v>75以上</x:v>
      </x:c>
      <x:c r="D13" s="22" t="str">
        <x:v>UNAVAILABLE</x:v>
      </x:c>
      <x:c r="E13" s="22" t="str">
        <x:v>REJECT</x:v>
      </x:c>
      <x:c r="F13" s="22" t="str">
        <x:v>COMPLETE</x:v>
      </x:c>
      <x:c r="G13" s="22" t="str">
        <x:v>CM-EV-011</x:v>
      </x:c>
    </x:row>
    <x:row r="14">
      <x:c r="A14" s="22" t="str">
        <x:v>CM-AP-SHUT-SAME</x:v>
      </x:c>
      <x:c r="B14" s="22" t="str">
        <x:v>existing_window_type</x:v>
      </x:c>
      <x:c r="C14" s="22" t="str">
        <x:v>既設シャッター付</x:v>
      </x:c>
      <x:c r="D14" s="22" t="str">
        <x:v>SAME_TYPE_ONLY</x:v>
      </x:c>
      <x:c r="E14" s="22" t="str">
        <x:v>新設もシャッター付のみ</x:v>
      </x:c>
      <x:c r="F14" s="22" t="str">
        <x:v>COMPLETE</x:v>
      </x:c>
      <x:c r="G14" s="22" t="str">
        <x:v>CM-EV-002</x:v>
      </x:c>
    </x:row>
    <x:row r="15">
      <x:c r="A15" s="22" t="str">
        <x:v>CM-AP-AMADO-SAME</x:v>
      </x:c>
      <x:c r="B15" s="22" t="str">
        <x:v>existing_window_type</x:v>
      </x:c>
      <x:c r="C15" s="22" t="str">
        <x:v>既設雨戸付</x:v>
      </x:c>
      <x:c r="D15" s="22" t="str">
        <x:v>SAME_TYPE_ONLY</x:v>
      </x:c>
      <x:c r="E15" s="22" t="str">
        <x:v>新設も雨戸付のみ</x:v>
      </x:c>
      <x:c r="F15" s="22" t="str">
        <x:v>COMPLETE</x:v>
      </x:c>
      <x:c r="G15" s="22" t="str">
        <x:v>CM-EV-002</x:v>
      </x:c>
    </x:row>
    <x:row r="16" ht="15" hidden="0" customHeight="1">
      <x:c r="A16" s="22" t="str">
        <x:v>CM-AP-AMADO-POCKET</x:v>
      </x:c>
      <x:c r="B16" s="22" t="str">
        <x:v>existing_window_type</x:v>
      </x:c>
      <x:c r="C16" s="22" t="str">
        <x:v>既設雨戸付</x:v>
      </x:c>
      <x:c r="D16" s="22" t="str">
        <x:v>REQUIRED_PART_CONDITION</x:v>
      </x:c>
      <x:c r="E16" s="22" t="str">
        <x:v>鏡板付戸袋必須。鏡板無戸袋は不可</x:v>
      </x:c>
      <x:c r="F16" s="22" t="str">
        <x:v>MANUAL_CHECK</x:v>
      </x:c>
      <x:c r="G16" s="22" t="str">
        <x:v>CM-EV-017</x:v>
      </x:c>
    </x:row>
  </x:sheetData>
  <x:mergeCells>
    <x:mergeCell ref="A1:G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20" hidden="0" customWidth="1"/>
    <x:col min="5" max="5" width="36" hidden="0" customWidth="1"/>
    <x:col min="6" max="6" width="32" hidden="0" customWidth="1"/>
    <x:col min="7" max="7" width="24" hidden="0" customWidth="1"/>
  </x:cols>
  <x:sheetData>
    <x:row r="1">
      <x:c r="A1" s="4" t="str">
        <x:v>10B_現調項目</x:v>
      </x:c>
      <x:c r="B1" s="4"/>
      <x:c r="C1" s="4"/>
      <x:c r="D1" s="4"/>
      <x:c r="E1" s="4"/>
      <x:c r="F1" s="4"/>
      <x:c r="G1" s="4"/>
    </x:row>
    <x:row r="2">
      <x:c r="A2" s="17" t="str">
        <x:v>survey_id</x:v>
      </x:c>
      <x:c r="B2" s="17" t="str">
        <x:v>field</x:v>
      </x:c>
      <x:c r="C2" s="17" t="str">
        <x:v>display</x:v>
      </x:c>
      <x:c r="D2" s="17" t="str">
        <x:v>requirement</x:v>
      </x:c>
      <x:c r="E2" s="17" t="str">
        <x:v>validation</x:v>
      </x:c>
      <x:c r="F2" s="17" t="str">
        <x:v>status</x:v>
      </x:c>
      <x:c r="G2" s="17" t="str">
        <x:v>evidence</x:v>
      </x:c>
    </x:row>
    <x:row r="3">
      <x:c r="A3" s="22" t="str">
        <x:v>CM-SURVEY-01</x:v>
      </x:c>
      <x:c r="B3" s="22" t="str">
        <x:v>existing_sash_W/H</x:v>
      </x:c>
      <x:c r="C3" s="22" t="str">
        <x:v>既設サッシ寸法</x:v>
      </x:c>
      <x:c r="D3" s="22" t="str">
        <x:v>REQUIRED</x:v>
      </x:c>
      <x:c r="E3" s="22" t="str">
        <x:v>新設同寸基準</x:v>
      </x:c>
      <x:c r="F3" s="22" t="str">
        <x:v>COMPLETE</x:v>
      </x:c>
      <x:c r="G3" s="22" t="str">
        <x:v>CM-EV-013</x:v>
      </x:c>
    </x:row>
    <x:row r="4">
      <x:c r="A4" s="22" t="str">
        <x:v>CM-SURVEY-02</x:v>
      </x:c>
      <x:c r="B4" s="22" t="str">
        <x:v>work_space_a_mm</x:v>
      </x:c>
      <x:c r="C4" s="22" t="str">
        <x:v>周辺スペースa</x:v>
      </x:c>
      <x:c r="D4" s="22" t="str">
        <x:v>REQUIRED</x:v>
      </x:c>
      <x:c r="E4" s="22" t="str">
        <x:v>&gt;=125</x:v>
      </x:c>
      <x:c r="F4" s="22" t="str">
        <x:v>COMPLETE</x:v>
      </x:c>
      <x:c r="G4" s="22" t="str">
        <x:v>CM-EV-011</x:v>
      </x:c>
    </x:row>
    <x:row r="5">
      <x:c r="A5" s="22" t="str">
        <x:v>CM-SURVEY-03</x:v>
      </x:c>
      <x:c r="B5" s="22" t="str">
        <x:v>work_space_b_mm</x:v>
      </x:c>
      <x:c r="C5" s="22" t="str">
        <x:v>周辺スペースb</x:v>
      </x:c>
      <x:c r="D5" s="22" t="str">
        <x:v>REQUIRED</x:v>
      </x:c>
      <x:c r="E5" s="22" t="str">
        <x:v>&gt;=125</x:v>
      </x:c>
      <x:c r="F5" s="22" t="str">
        <x:v>COMPLETE</x:v>
      </x:c>
      <x:c r="G5" s="22" t="str">
        <x:v>CM-EV-011</x:v>
      </x:c>
    </x:row>
    <x:row r="6">
      <x:c r="A6" s="22" t="str">
        <x:v>CM-SURVEY-04</x:v>
      </x:c>
      <x:c r="B6" s="22" t="str">
        <x:v>work_space_c_mm</x:v>
      </x:c>
      <x:c r="C6" s="22" t="str">
        <x:v>周辺スペースc</x:v>
      </x:c>
      <x:c r="D6" s="22" t="str">
        <x:v>REQUIRED</x:v>
      </x:c>
      <x:c r="E6" s="22" t="str">
        <x:v>&gt;=110</x:v>
      </x:c>
      <x:c r="F6" s="22" t="str">
        <x:v>COMPLETE</x:v>
      </x:c>
      <x:c r="G6" s="22" t="str">
        <x:v>CM-EV-011</x:v>
      </x:c>
    </x:row>
    <x:row r="7">
      <x:c r="A7" s="22" t="str">
        <x:v>CM-SURVEY-05</x:v>
      </x:c>
      <x:c r="B7" s="22" t="str">
        <x:v>wall_cut_position_mm</x:v>
      </x:c>
      <x:c r="C7" s="22" t="str">
        <x:v>壁切断位置</x:v>
      </x:c>
      <x:c r="D7" s="22" t="str">
        <x:v>REQUIRED</x:v>
      </x:c>
      <x:c r="E7" s="22" t="str">
        <x:v>&lt;75</x:v>
      </x:c>
      <x:c r="F7" s="22" t="str">
        <x:v>COMPLETE</x:v>
      </x:c>
      <x:c r="G7" s="22" t="str">
        <x:v>CM-EV-011</x:v>
      </x:c>
    </x:row>
    <x:row r="8">
      <x:c r="A8" s="22" t="str">
        <x:v>CM-SURVEY-06</x:v>
      </x:c>
      <x:c r="B8" s="22" t="str">
        <x:v>building_structure</x:v>
      </x:c>
      <x:c r="C8" s="22" t="str">
        <x:v>建物構造</x:v>
      </x:c>
      <x:c r="D8" s="22" t="str">
        <x:v>REQUIRED</x:v>
      </x:c>
      <x:c r="E8" s="22" t="str">
        <x:v>木造のみ</x:v>
      </x:c>
      <x:c r="F8" s="22" t="str">
        <x:v>COMPLETE</x:v>
      </x:c>
      <x:c r="G8" s="22" t="str">
        <x:v>CM-EV-011</x:v>
      </x:c>
    </x:row>
    <x:row r="9">
      <x:c r="A9" s="22" t="str">
        <x:v>CM-SURVEY-07</x:v>
      </x:c>
      <x:c r="B9" s="22" t="str">
        <x:v>floor_detail</x:v>
      </x:c>
      <x:c r="C9" s="22" t="str">
        <x:v>土間有無</x:v>
      </x:c>
      <x:c r="D9" s="22" t="str">
        <x:v>REQUIRED</x:v>
      </x:c>
      <x:c r="E9" s="22" t="str">
        <x:v>土間不可</x:v>
      </x:c>
      <x:c r="F9" s="22" t="str">
        <x:v>COMPLETE</x:v>
      </x:c>
      <x:c r="G9" s="22" t="str">
        <x:v>CM-EV-011</x:v>
      </x:c>
    </x:row>
    <x:row r="10">
      <x:c r="A10" s="22" t="str">
        <x:v>CM-SURVEY-08</x:v>
      </x:c>
      <x:c r="B10" s="22" t="str">
        <x:v>wall_substrate</x:v>
      </x:c>
      <x:c r="C10" s="22" t="str">
        <x:v>壁裏固定下地</x:v>
      </x:c>
      <x:c r="D10" s="22" t="str">
        <x:v>CONDITIONAL</x:v>
      </x:c>
      <x:c r="E10" s="22" t="str">
        <x:v>現場確認</x:v>
      </x:c>
      <x:c r="F10" s="22" t="str">
        <x:v>COMPLETE_WITH_EXTERNAL_CHECK</x:v>
      </x:c>
      <x:c r="G10" s="22" t="str">
        <x:v>CM-EV-011</x:v>
      </x:c>
    </x:row>
  </x:sheetData>
  <x:mergeCells>
    <x:mergeCell ref="A1:G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14" hidden="0" customWidth="1"/>
    <x:col min="5" max="5" width="22" hidden="0" customWidth="1"/>
    <x:col min="6" max="6" width="18" hidden="0" customWidth="1"/>
    <x:col min="7" max="7" width="24" hidden="0" customWidth="1"/>
  </x:cols>
  <x:sheetData>
    <x:row r="1">
      <x:c r="A1" s="4" t="str">
        <x:v>10C_施工スペース</x:v>
      </x:c>
      <x:c r="B1" s="4"/>
      <x:c r="C1" s="4"/>
      <x:c r="D1" s="4"/>
      <x:c r="E1" s="4"/>
      <x:c r="F1" s="4"/>
      <x:c r="G1" s="4"/>
    </x:row>
    <x:row r="2">
      <x:c r="A2" s="17" t="str">
        <x:v>rule_id</x:v>
      </x:c>
      <x:c r="B2" s="17" t="str">
        <x:v>field</x:v>
      </x:c>
      <x:c r="C2" s="17" t="str">
        <x:v>threshold_mm</x:v>
      </x:c>
      <x:c r="D2" s="17" t="str">
        <x:v>operator</x:v>
      </x:c>
      <x:c r="E2" s="17" t="str">
        <x:v>result</x:v>
      </x:c>
      <x:c r="F2" s="17" t="str">
        <x:v>status</x:v>
      </x:c>
      <x:c r="G2" s="17" t="str">
        <x:v>evidence</x:v>
      </x:c>
    </x:row>
    <x:row r="3">
      <x:c r="A3" s="22" t="str">
        <x:v>CM-SP-01</x:v>
      </x:c>
      <x:c r="B3" s="22" t="str">
        <x:v>a</x:v>
      </x:c>
      <x:c r="C3" s="22" t="n">
        <x:v>125</x:v>
      </x:c>
      <x:c r="D3" s="22" t="str">
        <x:v>&gt;=</x:v>
      </x:c>
      <x:c r="E3" s="22" t="str">
        <x:v>AVAILABLE</x:v>
      </x:c>
      <x:c r="F3" s="22" t="str">
        <x:v>COMPLETE</x:v>
      </x:c>
      <x:c r="G3" s="22" t="str">
        <x:v>CM-EV-011</x:v>
      </x:c>
    </x:row>
    <x:row r="4">
      <x:c r="A4" s="22" t="str">
        <x:v>CM-SP-02</x:v>
      </x:c>
      <x:c r="B4" s="22" t="str">
        <x:v>b</x:v>
      </x:c>
      <x:c r="C4" s="22" t="n">
        <x:v>125</x:v>
      </x:c>
      <x:c r="D4" s="22" t="str">
        <x:v>&gt;=</x:v>
      </x:c>
      <x:c r="E4" s="22" t="str">
        <x:v>AVAILABLE</x:v>
      </x:c>
      <x:c r="F4" s="22" t="str">
        <x:v>COMPLETE</x:v>
      </x:c>
      <x:c r="G4" s="22" t="str">
        <x:v>CM-EV-011</x:v>
      </x:c>
    </x:row>
    <x:row r="5">
      <x:c r="A5" s="22" t="str">
        <x:v>CM-SP-03</x:v>
      </x:c>
      <x:c r="B5" s="22" t="str">
        <x:v>c</x:v>
      </x:c>
      <x:c r="C5" s="22" t="n">
        <x:v>110</x:v>
      </x:c>
      <x:c r="D5" s="22" t="str">
        <x:v>&gt;=</x:v>
      </x:c>
      <x:c r="E5" s="22" t="str">
        <x:v>AVAILABLE</x:v>
      </x:c>
      <x:c r="F5" s="22" t="str">
        <x:v>COMPLETE</x:v>
      </x:c>
      <x:c r="G5" s="22" t="str">
        <x:v>CM-EV-011</x:v>
      </x:c>
    </x:row>
    <x:row r="6">
      <x:c r="A6" s="22" t="str">
        <x:v>CM-SP-04</x:v>
      </x:c>
      <x:c r="B6" s="22" t="str">
        <x:v>wall_cut_position</x:v>
      </x:c>
      <x:c r="C6" s="22" t="n">
        <x:v>75</x:v>
      </x:c>
      <x:c r="D6" s="22" t="str">
        <x:v>&lt;</x:v>
      </x:c>
      <x:c r="E6" s="22" t="str">
        <x:v>AVAILABLE</x:v>
      </x:c>
      <x:c r="F6" s="22" t="str">
        <x:v>COMPLETE</x:v>
      </x:c>
      <x:c r="G6" s="22" t="str">
        <x:v>CM-EV-011</x:v>
      </x:c>
    </x:row>
    <x:row r="7" ht="15" hidden="0" customHeight="1">
      <x:c r="A7" s="22" t="str">
        <x:v>CM-SP-05</x:v>
      </x:c>
      <x:c r="B7" s="22" t="str">
        <x:v>雨戸付の戸袋側スペース</x:v>
      </x:c>
      <x:c r="C7" s="22" t="str">
        <x:v>新設戸袋納まりW＋c</x:v>
      </x:c>
      <x:c r="D7" s="22" t="str">
        <x:v>&gt;=</x:v>
      </x:c>
      <x:c r="E7" s="22" t="str">
        <x:v>CONDITIONAL</x:v>
      </x:c>
      <x:c r="F7" s="22" t="str">
        <x:v>MANUAL_CHECK</x:v>
      </x:c>
      <x:c r="G7" s="22" t="str">
        <x:v>CM-EV-017</x:v>
      </x:c>
    </x:row>
  </x:sheetData>
  <x:mergeCells>
    <x:mergeCell ref="A1:G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2" hidden="0" customWidth="1"/>
    <x:col min="4" max="4" width="44" hidden="0" customWidth="1"/>
    <x:col min="5" max="5" width="32" hidden="0" customWidth="1"/>
    <x:col min="6" max="6" width="24" hidden="0" customWidth="1"/>
  </x:cols>
  <x:sheetData>
    <x:row r="1">
      <x:c r="A1" s="4" t="str">
        <x:v>10D_施工条件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category</x:v>
      </x:c>
      <x:c r="C2" s="17" t="str">
        <x:v>condition</x:v>
      </x:c>
      <x:c r="D2" s="17" t="str">
        <x:v>result</x:v>
      </x:c>
      <x:c r="E2" s="17" t="str">
        <x:v>status</x:v>
      </x:c>
      <x:c r="F2" s="17" t="str">
        <x:v>evidence</x:v>
      </x:c>
    </x:row>
    <x:row r="3">
      <x:c r="A3" s="22" t="str">
        <x:v>CM-CON-SP-A</x:v>
      </x:c>
      <x:c r="B3" s="22" t="str">
        <x:v>work_space_a_mm</x:v>
      </x:c>
      <x:c r="C3" s="22" t="str">
        <x:v>125</x:v>
      </x:c>
      <x:c r="D3" s="22" t="str">
        <x:v>以上確保</x:v>
      </x:c>
      <x:c r="E3" s="22" t="str">
        <x:v>COMPLETE</x:v>
      </x:c>
      <x:c r="F3" s="22" t="str">
        <x:v>CM-EV-011</x:v>
      </x:c>
    </x:row>
    <x:row r="4">
      <x:c r="A4" s="22" t="str">
        <x:v>CM-CON-SP-B</x:v>
      </x:c>
      <x:c r="B4" s="22" t="str">
        <x:v>work_space_b_mm</x:v>
      </x:c>
      <x:c r="C4" s="22" t="str">
        <x:v>125</x:v>
      </x:c>
      <x:c r="D4" s="22" t="str">
        <x:v>以上確保</x:v>
      </x:c>
      <x:c r="E4" s="22" t="str">
        <x:v>COMPLETE</x:v>
      </x:c>
      <x:c r="F4" s="22" t="str">
        <x:v>CM-EV-011</x:v>
      </x:c>
    </x:row>
    <x:row r="5">
      <x:c r="A5" s="22" t="str">
        <x:v>CM-CON-SP-C</x:v>
      </x:c>
      <x:c r="B5" s="22" t="str">
        <x:v>work_space_c_mm</x:v>
      </x:c>
      <x:c r="C5" s="22" t="str">
        <x:v>110</x:v>
      </x:c>
      <x:c r="D5" s="22" t="str">
        <x:v>以上確保</x:v>
      </x:c>
      <x:c r="E5" s="22" t="str">
        <x:v>COMPLETE</x:v>
      </x:c>
      <x:c r="F5" s="22" t="str">
        <x:v>CM-EV-011</x:v>
      </x:c>
    </x:row>
    <x:row r="6">
      <x:c r="A6" s="22" t="str">
        <x:v>CM-CON-SUBSTRATE</x:v>
      </x:c>
      <x:c r="B6" s="22" t="str">
        <x:v>wall_substrate</x:v>
      </x:c>
      <x:c r="C6" s="22" t="str">
        <x:v>固定下地確認</x:v>
      </x:c>
      <x:c r="D6" s="22" t="str">
        <x:v>現場確認</x:v>
      </x:c>
      <x:c r="E6" s="22" t="str">
        <x:v>COMPLETE_WITH_EXTERNAL_CHECK</x:v>
      </x:c>
      <x:c r="F6" s="22" t="str">
        <x:v>CM-EV-011</x:v>
      </x:c>
    </x:row>
    <x:row r="7">
      <x:c r="A7" s="22" t="str">
        <x:v>CM-CON-WATER</x:v>
      </x:c>
      <x:c r="B7" s="22" t="str">
        <x:v>waterproofing</x:v>
      </x:c>
      <x:c r="C7" s="22" t="str">
        <x:v>防水状態</x:v>
      </x:c>
      <x:c r="D7" s="22" t="str">
        <x:v>現場確認</x:v>
      </x:c>
      <x:c r="E7" s="22" t="str">
        <x:v>COMPLETE_WITH_EXTERNAL_CHECK</x:v>
      </x:c>
      <x:c r="F7" s="22" t="str">
        <x:v>CM-EV-011</x:v>
      </x:c>
    </x:row>
    <x:row r="8">
      <x:c r="A8" s="22" t="str">
        <x:v>CM-CON-SEAL</x:v>
      </x:c>
      <x:c r="B8" s="22" t="str">
        <x:v>primary_seal</x:v>
      </x:c>
      <x:c r="C8" s="22" t="str">
        <x:v>乾式シーリング材/シーリング</x:v>
      </x:c>
      <x:c r="D8" s="22" t="str">
        <x:v>納まり別AUTO_RESOLVED</x:v>
      </x:c>
      <x:c r="E8" s="22" t="str">
        <x:v>COMPLETE</x:v>
      </x:c>
      <x:c r="F8" s="22" t="str">
        <x:v>CM-EV-007,008</x:v>
      </x:c>
    </x:row>
    <x:row r="9" ht="15" hidden="0" customHeight="1">
      <x:c r="A9" s="22" t="str">
        <x:v>CM-CON-AMADO-POCKET</x:v>
      </x:c>
      <x:c r="B9" s="22" t="str">
        <x:v>雨戸付の戸袋</x:v>
      </x:c>
      <x:c r="C9" s="22" t="str">
        <x:v>鏡板付戸袋</x:v>
      </x:c>
      <x:c r="D9" s="22" t="str">
        <x:v>鏡板無戸袋は不可</x:v>
      </x:c>
      <x:c r="E9" s="22" t="str">
        <x:v>MANUAL_CHECK</x:v>
      </x:c>
      <x:c r="F9" s="22" t="str">
        <x:v>CM-EV-017</x:v>
      </x:c>
    </x:row>
  </x:sheetData>
  <x:mergeCells>
    <x:mergeCell ref="A1:F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32" hidden="0" customWidth="1"/>
    <x:col min="5" max="5" width="38" hidden="0" customWidth="1"/>
    <x:col min="6" max="6" width="34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2" hidden="0" customWidth="1"/>
    <x:col min="16" max="16" width="30" hidden="0" customWidth="1"/>
  </x:cols>
  <x:sheetData>
    <x:row r="1">
      <x:c r="A1" s="28" t="str">
        <x:v>11_見積入力テスト｜Golden Test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0" t="str">
        <x:v>正本実在サイズを使い、通常・条件分岐・非対応を確認。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1" t="str">
        <x:v>test_id</x:v>
      </x:c>
      <x:c r="B4" s="31" t="str">
        <x:v>case</x:v>
      </x:c>
      <x:c r="C4" s="31" t="str">
        <x:v>series</x:v>
      </x:c>
      <x:c r="D4" s="31" t="str">
        <x:v>window_id</x:v>
      </x:c>
      <x:c r="E4" s="31" t="str">
        <x:v>spec</x:v>
      </x:c>
      <x:c r="F4" s="31" t="str">
        <x:v>size_proof</x:v>
      </x:c>
      <x:c r="G4" s="31" t="str">
        <x:v>W</x:v>
      </x:c>
      <x:c r="H4" s="31" t="str">
        <x:v>H</x:v>
      </x:c>
      <x:c r="I4" s="31" t="str">
        <x:v>opening</x:v>
      </x:c>
      <x:c r="J4" s="31" t="str">
        <x:v>building</x:v>
      </x:c>
      <x:c r="K4" s="31" t="str">
        <x:v>floor</x:v>
      </x:c>
      <x:c r="L4" s="31" t="str">
        <x:v>MW</x:v>
      </x:c>
      <x:c r="M4" s="31" t="str">
        <x:v>MH</x:v>
      </x:c>
      <x:c r="N4" s="31" t="str">
        <x:v>local_result</x:v>
      </x:c>
      <x:c r="O4" s="31" t="str">
        <x:v>reference_result</x:v>
      </x:c>
      <x:c r="P4" s="31" t="str">
        <x:v>final_result</x:v>
      </x:c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GT-CM-01</x:v>
      </x:c>
      <x:c r="B5" s="32" t="str">
        <x:v>通常マド</x:v>
      </x:c>
      <x:c r="C5" s="32" t="str">
        <x:v>SER-LIX-SAMOSL</x:v>
      </x:c>
      <x:c r="D5" s="32" t="str">
        <x:v>WT-SL-YOKO-SUBERI</x:v>
      </x:c>
      <x:c r="E5" s="32" t="str">
        <x:v>SP-SL-YOKO-CAM</x:v>
      </x:c>
      <x:c r="F5" s="32" t="str">
        <x:v>SZ-SL-001542 active</x:v>
      </x:c>
      <x:c r="G5" s="32" t="n">
        <x:v>405</x:v>
      </x:c>
      <x:c r="H5" s="32" t="n">
        <x:v>370</x:v>
      </x:c>
      <x:c r="I5" s="32" t="str">
        <x:v>MADO</x:v>
      </x:c>
      <x:c r="J5" s="32" t="str">
        <x:v>木造</x:v>
      </x:c>
      <x:c r="K5" s="32" t="str">
        <x:v>通常</x:v>
      </x:c>
      <x:c r="L5" s="32" t="n">
        <x:f>G5+16</x:f>
        <x:v>421</x:v>
      </x:c>
      <x:c r="M5" s="32" t="n">
        <x:f>H5+26</x:f>
        <x:v>396</x:v>
      </x:c>
      <x:c r="N5" s="32" t="str">
        <x:f>IF(AND(J5="木造",K5&lt;&gt;"土間",L5=421,M5=396),"PASS","FAIL")</x:f>
        <x:v>PASS</x:v>
      </x:c>
      <x:c r="O5" s="32" t="str">
        <x:v>PASS</x:v>
      </x:c>
      <x:c r="P5" s="32" t="str">
        <x:f>IF(AND(N5="PASS",O5="PASS"),"通常候補として確定可","要確認")</x:f>
        <x:v>通常候補として確定可</x:v>
      </x:c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GT-CM-02</x:v>
      </x:c>
      <x:c r="B6" s="32" t="str">
        <x:v>シャッターテラス</x:v>
      </x:c>
      <x:c r="C6" s="32" t="str">
        <x:v>SER-LIX-SAMOS2H</x:v>
      </x:c>
      <x:c r="D6" s="32" t="str">
        <x:v>WT-S2H-SHUTTER-HIKI</x:v>
      </x:c>
      <x:c r="E6" s="32" t="str">
        <x:v>SP-S2H-SHUT-E-VENT</x:v>
      </x:c>
      <x:c r="F6" s="32" t="str">
        <x:v>SZ-S2H-00377 active</x:v>
      </x:c>
      <x:c r="G6" s="32" t="n">
        <x:v>2550</x:v>
      </x:c>
      <x:c r="H6" s="32" t="n">
        <x:v>2030</x:v>
      </x:c>
      <x:c r="I6" s="32" t="str">
        <x:v>TERRACE</x:v>
      </x:c>
      <x:c r="J6" s="32" t="str">
        <x:v>木造</x:v>
      </x:c>
      <x:c r="K6" s="32" t="str">
        <x:v>通常</x:v>
      </x:c>
      <x:c r="L6" s="32" t="n">
        <x:f>G6+26</x:f>
        <x:v>2576</x:v>
      </x:c>
      <x:c r="M6" s="32" t="n">
        <x:f>H6+312</x:f>
        <x:v>2342</x:v>
      </x:c>
      <x:c r="N6" s="32" t="str">
        <x:f>IF(AND(J6="木造",L6=2576,M6=2342),"PASS","FAIL")</x:f>
        <x:v>PASS</x:v>
      </x:c>
      <x:c r="O6" s="32" t="str">
        <x:v>PASS</x:v>
      </x:c>
      <x:c r="P6" s="32" t="str">
        <x:f>IF(AND(N6="PASS",O6="PASS"),"通常候補として確定可","要確認")</x:f>
        <x:v>通常候補として確定可</x:v>
      </x:c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32" t="str">
        <x:v>GT-CM-03</x:v>
      </x:c>
      <x:c r="B7" s="32" t="str">
        <x:v>非対応構造</x:v>
      </x:c>
      <x:c r="C7" s="32" t="str">
        <x:v>SER-LIX-SAMOSL</x:v>
      </x:c>
      <x:c r="D7" s="32" t="str">
        <x:v>WT-SL-YOKO-SUBERI</x:v>
      </x:c>
      <x:c r="E7" s="32" t="str">
        <x:v>SP-SL-YOKO-CAM</x:v>
      </x:c>
      <x:c r="F7" s="32" t="str">
        <x:v>SZ-SL-001542 active</x:v>
      </x:c>
      <x:c r="G7" s="32" t="n">
        <x:v>405</x:v>
      </x:c>
      <x:c r="H7" s="32" t="n">
        <x:v>370</x:v>
      </x:c>
      <x:c r="I7" s="32" t="str">
        <x:v>MADO</x:v>
      </x:c>
      <x:c r="J7" s="32" t="str">
        <x:v>RC</x:v>
      </x:c>
      <x:c r="K7" s="32" t="str">
        <x:v>通常</x:v>
      </x:c>
      <x:c r="L7" s="32" t="n">
        <x:f>G7+16</x:f>
        <x:v>421</x:v>
      </x:c>
      <x:c r="M7" s="32" t="n">
        <x:f>H7+26</x:f>
        <x:v>396</x:v>
      </x:c>
      <x:c r="N7" s="32" t="str">
        <x:f>IF(J7&lt;&gt;"木造","REJECT","FAIL")</x:f>
        <x:v>REJECT</x:v>
      </x:c>
      <x:c r="O7" s="32" t="str">
        <x:v>PASS</x:v>
      </x:c>
      <x:c r="P7" s="32" t="str">
        <x:f>IF(N7="REJECT","REJECT/HIDE","FAIL")</x:f>
        <x:v>REJECT/HIDE</x:v>
      </x:c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P1"/>
    <x:mergeCell ref="A2:P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0" hidden="0" customWidth="1"/>
    <x:col min="4" max="4" width="22" hidden="0" customWidth="1"/>
    <x:col min="5" max="5" width="18" hidden="0" customWidth="1"/>
    <x:col min="6" max="6" width="24" hidden="0" customWidth="1"/>
  </x:cols>
  <x:sheetData>
    <x:row r="1">
      <x:c r="A1" s="4" t="str">
        <x:v>12_共通参照</x:v>
      </x:c>
      <x:c r="B1" s="4"/>
      <x:c r="C1" s="4"/>
      <x:c r="D1" s="4"/>
      <x:c r="E1" s="4"/>
      <x:c r="F1" s="4"/>
    </x:row>
    <x:row r="2">
      <x:c r="A2" s="17" t="str">
        <x:v>id</x:v>
      </x:c>
      <x:c r="B2" s="17" t="str">
        <x:v>category</x:v>
      </x:c>
      <x:c r="C2" s="17" t="str">
        <x:v>reference</x:v>
      </x:c>
      <x:c r="D2" s="17" t="str">
        <x:v>role</x:v>
      </x:c>
      <x:c r="E2" s="17" t="str">
        <x:v>status</x:v>
      </x:c>
      <x:c r="F2" s="17" t="str">
        <x:v>evidence</x:v>
      </x:c>
    </x:row>
    <x:row r="3">
      <x:c r="A3" s="22" t="str">
        <x:v>CM-SHARED-01</x:v>
      </x:c>
      <x:c r="B3" s="22" t="str">
        <x:v>参照商品正本</x:v>
      </x:c>
      <x:c r="C3" s="22" t="str">
        <x:v>TW/S2H/SL/SA</x:v>
      </x:c>
      <x:c r="D3" s="22" t="str">
        <x:v>SSOT</x:v>
      </x:c>
      <x:c r="E3" s="22" t="str">
        <x:v>COMPLETE</x:v>
      </x:c>
      <x:c r="F3" s="22" t="str">
        <x:v>CM-EV-003～006</x:v>
      </x:c>
    </x:row>
    <x:row r="4">
      <x:c r="A4" s="22" t="str">
        <x:v>CM-SHARED-02</x:v>
      </x:c>
      <x:c r="B4" s="22" t="str">
        <x:v>Package Gate</x:v>
      </x:c>
      <x:c r="C4" s="22" t="str">
        <x:v>v2.0成果物仕様</x:v>
      </x:c>
      <x:c r="D4" s="22" t="str">
        <x:v>PACKAGE</x:v>
      </x:c>
      <x:c r="E4" s="22" t="str">
        <x:v>COMPLETE</x:v>
      </x:c>
      <x:c r="F4" s="22" t="str">
        <x:v>CM-EV-016</x:v>
      </x:c>
    </x:row>
  </x:sheetData>
  <x:mergeCells>
    <x:mergeCell ref="A1:F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  <x:col min="5" max="5" width="40" hidden="0" customWidth="1"/>
    <x:col min="6" max="6" width="18" hidden="0" customWidth="1"/>
    <x:col min="7" max="7" width="24" hidden="0" customWidth="1"/>
  </x:cols>
  <x:sheetData>
    <x:row r="1">
      <x:c r="A1" s="4" t="str">
        <x:v>12A_他取替方式比較</x:v>
      </x:c>
      <x:c r="B1" s="4"/>
      <x:c r="C1" s="4"/>
      <x:c r="D1" s="4"/>
      <x:c r="E1" s="4"/>
      <x:c r="F1" s="4"/>
      <x:c r="G1" s="4"/>
    </x:row>
    <x:row r="2">
      <x:c r="A2" s="17" t="str">
        <x:v>項目</x:v>
      </x:c>
      <x:c r="B2" s="17" t="str">
        <x:v>RPL_DIRECT</x:v>
      </x:c>
      <x:c r="C2" s="17" t="str">
        <x:v>RPL_ATT_TW</x:v>
      </x:c>
      <x:c r="D2" s="17" t="str">
        <x:v>RPL_ATT_TH</x:v>
      </x:c>
      <x:c r="E2" s="17" t="str">
        <x:v>RPL_CUT_MALL</x:v>
      </x:c>
      <x:c r="F2" s="17" t="str">
        <x:v>判定</x:v>
      </x:c>
      <x:c r="G2" s="17" t="str">
        <x:v>evidence</x:v>
      </x:c>
    </x:row>
    <x:row r="3">
      <x:c r="A3" s="22" t="str">
        <x:v>商品構造</x:v>
      </x:c>
      <x:c r="B3" s="22" t="str">
        <x:v>既設枠被覆</x:v>
      </x:c>
      <x:c r="C3" s="22" t="str">
        <x:v>既設枠+アタッチ</x:v>
      </x:c>
      <x:c r="D3" s="22" t="str">
        <x:v>既設枠+アタッチ</x:v>
      </x:c>
      <x:c r="E3" s="22" t="str">
        <x:v>外壁切断+既設枠撤去</x:v>
      </x:c>
      <x:c r="F3" s="22" t="str">
        <x:v>DIFFERENT</x:v>
      </x:c>
      <x:c r="G3" s="22" t="str">
        <x:v>CM-EV-002</x:v>
      </x:c>
    </x:row>
    <x:row r="4">
      <x:c r="A4" s="22" t="str">
        <x:v>壁工事</x:v>
      </x:c>
      <x:c r="B4" s="22" t="str">
        <x:v>なし</x:v>
      </x:c>
      <x:c r="C4" s="22" t="str">
        <x:v>なし</x:v>
      </x:c>
      <x:c r="D4" s="22" t="str">
        <x:v>なし</x:v>
      </x:c>
      <x:c r="E4" s="22" t="str">
        <x:v>あり</x:v>
      </x:c>
      <x:c r="F4" s="22" t="str">
        <x:v>DIFFERENT</x:v>
      </x:c>
      <x:c r="G4" s="22" t="str">
        <x:v>CM-EV-002</x:v>
      </x:c>
    </x:row>
    <x:row r="5">
      <x:c r="A5" s="22" t="str">
        <x:v>新設商品</x:v>
      </x:c>
      <x:c r="B5" s="22" t="str">
        <x:v>専用取替枠</x:v>
      </x:c>
      <x:c r="C5" s="22" t="str">
        <x:v>TW</x:v>
      </x:c>
      <x:c r="D5" s="22" t="str">
        <x:v>サーモス系</x:v>
      </x:c>
      <x:c r="E5" s="22" t="str">
        <x:v>TW/S2H/SL/SA</x:v>
      </x:c>
      <x:c r="F5" s="22" t="str">
        <x:v>DIFFERENT</x:v>
      </x:c>
      <x:c r="G5" s="22" t="str">
        <x:v>CM-EV-002</x:v>
      </x:c>
    </x:row>
    <x:row r="6">
      <x:c r="A6" s="22" t="str">
        <x:v>寸法式</x:v>
      </x:c>
      <x:c r="B6" s="22" t="str">
        <x:v>専用</x:v>
      </x:c>
      <x:c r="C6" s="22" t="str">
        <x:v>WS/HS変換</x:v>
      </x:c>
      <x:c r="D6" s="22" t="str">
        <x:v>WS/HS変換</x:v>
      </x:c>
      <x:c r="E6" s="22" t="str">
        <x:v>新設W/H→MW/MH</x:v>
      </x:c>
      <x:c r="F6" s="22" t="str">
        <x:v>DIFFERENT</x:v>
      </x:c>
      <x:c r="G6" s="22" t="str">
        <x:v>CM-EV-007～010</x:v>
      </x:c>
    </x:row>
    <x:row r="7">
      <x:c r="A7" s="22" t="str">
        <x:v>建物</x:v>
      </x:c>
      <x:c r="B7" s="22" t="str">
        <x:v>各方式条件</x:v>
      </x:c>
      <x:c r="C7" s="22" t="str">
        <x:v>各方式条件</x:v>
      </x:c>
      <x:c r="D7" s="22" t="str">
        <x:v>各方式条件</x:v>
      </x:c>
      <x:c r="E7" s="22" t="str">
        <x:v>木造のみ</x:v>
      </x:c>
      <x:c r="F7" s="22" t="str">
        <x:v>DIFFERENT</x:v>
      </x:c>
      <x:c r="G7" s="22" t="str">
        <x:v>CM-EV-011</x:v>
      </x:c>
    </x:row>
  </x:sheetData>
  <x:mergeCells>
    <x:mergeCell ref="A1:G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8" hidden="0" customWidth="1"/>
    <x:col min="4" max="4" width="16" hidden="0" customWidth="1"/>
    <x:col min="5" max="5" width="42" hidden="0" customWidth="1"/>
    <x:col min="6" max="6" width="20" hidden="0" customWidth="1"/>
    <x:col min="7" max="7" width="18" hidden="0" customWidth="1"/>
  </x:cols>
  <x:sheetData>
    <x:row r="1">
      <x:c r="A1" s="28" t="str">
        <x:v>13_参照整合性監査</x:v>
      </x:c>
      <x:c r="B1" s="28"/>
      <x:c r="C1" s="28"/>
      <x:c r="D1" s="28"/>
      <x:c r="E1" s="28"/>
      <x:c r="F1" s="28"/>
      <x:c r="G1" s="2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1" t="str">
        <x:v>series</x:v>
      </x:c>
      <x:c r="B2" s="31" t="str">
        <x:v>series_id</x:v>
      </x:c>
      <x:c r="C2" s="31" t="str">
        <x:v>master_id</x:v>
      </x:c>
      <x:c r="D2" s="31" t="str">
        <x:v>version</x:v>
      </x:c>
      <x:c r="E2" s="31" t="str">
        <x:v>validation_entry</x:v>
      </x:c>
      <x:c r="F2" s="31" t="str">
        <x:v>mode</x:v>
      </x:c>
      <x:c r="G2" s="31" t="str">
        <x:v>result</x:v>
      </x:c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2" t="str">
        <x:v>TW</x:v>
      </x:c>
      <x:c r="B3" s="32" t="str">
        <x:v>SER-LIX-TW</x:v>
      </x:c>
      <x:c r="C3" s="32" t="str">
        <x:v>1ordbcPQS7XhptLMjRON2oxmdsPhs-aY-Wm7quPHvM9U</x:v>
      </x:c>
      <x:c r="D3" s="32" t="str">
        <x:v>integrated-v0.1</x:v>
      </x:c>
      <x:c r="E3" s="32" t="str">
        <x:v>03A active series_window_id</x:v>
      </x:c>
      <x:c r="F3" s="32" t="str">
        <x:v>REFERENCE</x:v>
      </x:c>
      <x:c r="G3" s="32" t="str">
        <x:v>PASS</x:v>
      </x:c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2" t="str">
        <x:v>サーモスⅡ-H</x:v>
      </x:c>
      <x:c r="B4" s="32" t="str">
        <x:v>SER-LIX-SAMOS2H</x:v>
      </x:c>
      <x:c r="C4" s="32" t="str">
        <x:v>1zHi-XsMqJp0MKH-sDoTcnTqkLMGcuRdo</x:v>
      </x:c>
      <x:c r="D4" s="32" t="str">
        <x:v>v0.7</x:v>
      </x:c>
      <x:c r="E4" s="32" t="str">
        <x:v>03/04/06</x:v>
      </x:c>
      <x:c r="F4" s="32" t="str">
        <x:v>REFERENCE</x:v>
      </x:c>
      <x:c r="G4" s="32" t="str">
        <x:v>PASS</x:v>
      </x:c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サーモスL</x:v>
      </x:c>
      <x:c r="B5" s="32" t="str">
        <x:v>SER-LIX-SAMOSL</x:v>
      </x:c>
      <x:c r="C5" s="32" t="str">
        <x:v>17lVzBZ1hp4RVcGv0yNdnrKt25SFO2FhL</x:v>
      </x:c>
      <x:c r="D5" s="32" t="str">
        <x:v>v0.7</x:v>
      </x:c>
      <x:c r="E5" s="32" t="str">
        <x:v>03/04/06</x:v>
      </x:c>
      <x:c r="F5" s="32" t="str">
        <x:v>REFERENCE</x:v>
      </x:c>
      <x:c r="G5" s="32" t="str">
        <x:v>PASS</x:v>
      </x:c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サーモスA</x:v>
      </x:c>
      <x:c r="B6" s="32" t="str">
        <x:v>SER-LIX-SAMOSA</x:v>
      </x:c>
      <x:c r="C6" s="32" t="str">
        <x:v>1cDEFzi0g1DzM5YoeGvZtHuXionD7tmFD</x:v>
      </x:c>
      <x:c r="D6" s="32" t="str">
        <x:v>v0.7</x:v>
      </x:c>
      <x:c r="E6" s="32" t="str">
        <x:v>02/12/15</x:v>
      </x:c>
      <x:c r="F6" s="32" t="str">
        <x:v>REFERENCE</x:v>
      </x:c>
      <x:c r="G6" s="32" t="str">
        <x:v>PASS</x:v>
      </x:c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G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54" hidden="0" customWidth="1"/>
    <x:col min="4" max="4" width="20" hidden="0" customWidth="1"/>
    <x:col min="5" max="5" width="38" hidden="0" customWidth="1"/>
    <x:col min="6" max="6" width="56" hidden="0" customWidth="1"/>
    <x:col min="7" max="7" width="18" hidden="0" customWidth="1"/>
    <x:col min="8" max="8" width="16" hidden="0" customWidth="1"/>
    <x:col min="9" max="9" width="86" hidden="0" customWidth="1"/>
  </x:cols>
  <x:sheetData>
    <x:row r="1">
      <x:c r="A1" s="4" t="str">
        <x:v>90_Evidence｜RPL_CUT_MALL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7" t="str">
        <x:v>evidence_id</x:v>
      </x:c>
      <x:c r="B2" s="17" t="str">
        <x:v>source_type</x:v>
      </x:c>
      <x:c r="C2" s="17" t="str">
        <x:v>material_title</x:v>
      </x:c>
      <x:c r="D2" s="17" t="str">
        <x:v>publication/version</x:v>
      </x:c>
      <x:c r="E2" s="17" t="str">
        <x:v>page/sheet</x:v>
      </x:c>
      <x:c r="F2" s="17" t="str">
        <x:v>source</x:v>
      </x:c>
      <x:c r="G2" s="17" t="str">
        <x:v>checked_at</x:v>
      </x:c>
      <x:c r="H2" s="17" t="str">
        <x:v>confidence</x:v>
      </x:c>
      <x:c r="I2" s="17" t="str">
        <x:v>summary</x:v>
      </x:c>
    </x:row>
    <x:row r="3">
      <x:c r="A3" s="22" t="str">
        <x:v>CM-EV-001</x:v>
      </x:c>
      <x:c r="B3" s="22" t="str">
        <x:v>共通仕様</x:v>
      </x:c>
      <x:c r="C3" s="22" t="str">
        <x:v>サッシ商品マスター共通仕様書</x:v>
      </x:c>
      <x:c r="D3" s="22" t="str">
        <x:v>current</x:v>
      </x:c>
      <x:c r="E3" s="22" t="str">
        <x:v>参照型Master/状態/Dependency/QA</x:v>
      </x:c>
      <x:c r="F3" s="22" t="str">
        <x:v>Google Drive</x:v>
      </x:c>
      <x:c r="G3" s="22" t="str">
        <x:v>2026-09-01</x:v>
      </x:c>
      <x:c r="H3" s="22" t="str">
        <x:v>HIGH</x:v>
      </x:c>
      <x:c r="I3" s="22" t="str">
        <x:v>共通Master原則</x:v>
      </x:c>
    </x:row>
    <x:row r="4">
      <x:c r="A4" s="22" t="str">
        <x:v>CM-EV-002</x:v>
      </x:c>
      <x:c r="B4" s="22" t="str">
        <x:v>LIXIL公式カタログ</x:v>
      </x:c>
      <x:c r="C4" s="22" t="str">
        <x:v>リプラス 商品カタログ</x:v>
      </x:c>
      <x:c r="D4" s="22" t="str">
        <x:v>2025-08/2026現行</x:v>
      </x:c>
      <x:c r="E4" s="22" t="str">
        <x:v>P25/P203/P273等</x:v>
      </x:c>
      <x:c r="F4" s="22" t="str">
        <x:v>Drive:1wH1nhmsftl6y8Mp7y6twtoXSi6rxqxzT</x:v>
      </x:c>
      <x:c r="G4" s="22" t="str">
        <x:v>2026-09-01</x:v>
      </x:c>
      <x:c r="H4" s="22" t="str">
        <x:v>HIGH</x:v>
      </x:c>
      <x:c r="I4" s="22" t="str">
        <x:v>汎用カットモールの役割、対応新設商品、同品種制限</x:v>
      </x:c>
    </x:row>
    <x:row r="5">
      <x:c r="A5" s="22" t="str">
        <x:v>CM-EV-003</x:v>
      </x:c>
      <x:c r="B5" s="22" t="str">
        <x:v>商品Master正本</x:v>
      </x:c>
      <x:c r="C5" s="22" t="str">
        <x:v>サッシ商品マスター_v0.1</x:v>
      </x:c>
      <x:c r="D5" s="22" t="str">
        <x:v>integrated-v0.1</x:v>
      </x:c>
      <x:c r="E5" s="22" t="str">
        <x:v>03_窓種/03A_シリーズ窓種設定</x:v>
      </x:c>
      <x:c r="F5" s="22" t="str">
        <x:v>Drive:1ordbcPQS7XhptLMjRON2oxmdsPhs-aY-Wm7quPHvM9U</x:v>
      </x:c>
      <x:c r="G5" s="22" t="str">
        <x:v>2026-09-01</x:v>
      </x:c>
      <x:c r="H5" s="22" t="str">
        <x:v>HIGH</x:v>
      </x:c>
      <x:c r="I5" s="22" t="str">
        <x:v>TW正式ID</x:v>
      </x:c>
    </x:row>
    <x:row r="6">
      <x:c r="A6" s="22" t="str">
        <x:v>CM-EV-004</x:v>
      </x:c>
      <x:c r="B6" s="22" t="str">
        <x:v>商品Master正本</x:v>
      </x:c>
      <x:c r="C6" s="22" t="str">
        <x:v>サーモスⅡH_商品マスター_v0.7_完全完成版</x:v>
      </x:c>
      <x:c r="D6" s="22" t="str">
        <x:v>v0.7</x:v>
      </x:c>
      <x:c r="E6" s="22" t="str">
        <x:v>03_窓種/04_窓種固有仕様/06_サイズ</x:v>
      </x:c>
      <x:c r="F6" s="22" t="str">
        <x:v>Drive:1zHi-XsMqJp0MKH-sDoTcnTqkLMGcuRdo</x:v>
      </x:c>
      <x:c r="G6" s="22" t="str">
        <x:v>2026-09-01</x:v>
      </x:c>
      <x:c r="H6" s="22" t="str">
        <x:v>HIGH</x:v>
      </x:c>
      <x:c r="I6" s="22" t="str">
        <x:v>サーモスⅡ-H SSOT</x:v>
      </x:c>
    </x:row>
    <x:row r="7">
      <x:c r="A7" s="22" t="str">
        <x:v>CM-EV-005</x:v>
      </x:c>
      <x:c r="B7" s="22" t="str">
        <x:v>商品Master正本</x:v>
      </x:c>
      <x:c r="C7" s="22" t="str">
        <x:v>サーモスL_商品マスター_v0.7_特注寸法発注アプリ投入完成版_QA確定</x:v>
      </x:c>
      <x:c r="D7" s="22" t="str">
        <x:v>v0.7</x:v>
      </x:c>
      <x:c r="E7" s="22" t="str">
        <x:v>03_窓種/04_窓種固有仕様/06_サイズ</x:v>
      </x:c>
      <x:c r="F7" s="22" t="str">
        <x:v>Drive:17lVzBZ1hp4RVcGv0yNdnrKt25SFO2FhL</x:v>
      </x:c>
      <x:c r="G7" s="22" t="str">
        <x:v>2026-09-01</x:v>
      </x:c>
      <x:c r="H7" s="22" t="str">
        <x:v>HIGH</x:v>
      </x:c>
      <x:c r="I7" s="22" t="str">
        <x:v>サーモスL SSOT</x:v>
      </x:c>
    </x:row>
    <x:row r="8">
      <x:c r="A8" s="22" t="str">
        <x:v>CM-EV-006</x:v>
      </x:c>
      <x:c r="B8" s="22" t="str">
        <x:v>商品Master正本</x:v>
      </x:c>
      <x:c r="C8" s="22" t="str">
        <x:v>サーモスA_商品マスター_v0.7</x:v>
      </x:c>
      <x:c r="D8" s="22" t="str">
        <x:v>v0.7</x:v>
      </x:c>
      <x:c r="E8" s="22" t="str">
        <x:v>02_WINDOW_TYPE_MASTER/12_SIZE_MASTER/15_DEPENDENCY_RULE</x:v>
      </x:c>
      <x:c r="F8" s="22" t="str">
        <x:v>Drive:1cDEFzi0g1DzM5YoeGvZtHuXionD7tmFD</x:v>
      </x:c>
      <x:c r="G8" s="22" t="str">
        <x:v>2026-09-01</x:v>
      </x:c>
      <x:c r="H8" s="22" t="str">
        <x:v>HIGH</x:v>
      </x:c>
      <x:c r="I8" s="22" t="str">
        <x:v>サーモスA SSOT</x:v>
      </x:c>
    </x:row>
    <x:row r="9">
      <x:c r="A9" s="22" t="str">
        <x:v>CM-EV-007</x:v>
      </x:c>
      <x:c r="B9" s="22" t="str">
        <x:v>LIXIL公式納まり</x:v>
      </x:c>
      <x:c r="C9" s="22" t="str">
        <x:v>リプラス 汎用カットモール 基本寸法/納まり</x:v>
      </x:c>
      <x:c r="D9" s="22" t="str">
        <x:v>2026現行</x:v>
      </x:c>
      <x:c r="E9" s="22" t="str">
        <x:v>P189-193</x:v>
      </x:c>
      <x:c r="F9" s="22" t="str">
        <x:v>Drive:1wH1nhmsftl6y8Mp7y6twtoXSi6rxqxzT</x:v>
      </x:c>
      <x:c r="G9" s="22" t="str">
        <x:v>2026-09-01</x:v>
      </x:c>
      <x:c r="H9" s="22" t="str">
        <x:v>HIGH</x:v>
      </x:c>
      <x:c r="I9" s="22" t="str">
        <x:v>通常マド/テラス MW/MH、止水部材</x:v>
      </x:c>
    </x:row>
    <x:row r="10">
      <x:c r="A10" s="22" t="str">
        <x:v>CM-EV-008</x:v>
      </x:c>
      <x:c r="B10" s="22" t="str">
        <x:v>LIXIL公式納まり</x:v>
      </x:c>
      <x:c r="C10" s="22" t="str">
        <x:v>リプラス 汎用カットモール シャッター納まり</x:v>
      </x:c>
      <x:c r="D10" s="22" t="str">
        <x:v>2026現行</x:v>
      </x:c>
      <x:c r="E10" s="22" t="str">
        <x:v>P190-191</x:v>
      </x:c>
      <x:c r="F10" s="22" t="str">
        <x:v>Drive:1wH1nhmsftl6y8Mp7y6twtoXSi6rxqxzT</x:v>
      </x:c>
      <x:c r="G10" s="22" t="str">
        <x:v>2026-09-01</x:v>
      </x:c>
      <x:c r="H10" s="22" t="str">
        <x:v>HIGH</x:v>
      </x:c>
      <x:c r="I10" s="22" t="str">
        <x:v>シャッターMW/MH、シーリング</x:v>
      </x:c>
    </x:row>
    <x:row r="11">
      <x:c r="A11" s="22" t="str">
        <x:v>CM-EV-009</x:v>
      </x:c>
      <x:c r="B11" s="22" t="str">
        <x:v>LIXIL公式納まり</x:v>
      </x:c>
      <x:c r="C11" s="22" t="str">
        <x:v>リプラス 汎用カットモール 雨戸付納まり</x:v>
      </x:c>
      <x:c r="D11" s="22" t="str">
        <x:v>2026現行</x:v>
      </x:c>
      <x:c r="E11" s="22" t="str">
        <x:v>業務用資料/納まり</x:v>
      </x:c>
      <x:c r="F11" s="22" t="str">
        <x:v>Drive:1D1HPMXhOMYd_Lu10XNzzJR2TH3aDHVUr</x:v>
      </x:c>
      <x:c r="G11" s="22" t="str">
        <x:v>2026-09-01</x:v>
      </x:c>
      <x:c r="H11" s="22" t="str">
        <x:v>HIGH</x:v>
      </x:c>
      <x:c r="I11" s="22" t="str">
        <x:v>雨戸付MW/MH</x:v>
      </x:c>
    </x:row>
    <x:row r="12">
      <x:c r="A12" s="22" t="str">
        <x:v>CM-EV-010</x:v>
      </x:c>
      <x:c r="B12" s="22" t="str">
        <x:v>LIXIL公式現調</x:v>
      </x:c>
      <x:c r="C12" s="22" t="str">
        <x:v>リプラス 汎用カットモール 現場調査シート</x:v>
      </x:c>
      <x:c r="D12" s="22" t="str">
        <x:v>2026現行</x:v>
      </x:c>
      <x:c r="E12" s="22" t="str">
        <x:v>P276</x:v>
      </x:c>
      <x:c r="F12" s="22" t="str">
        <x:v>Drive:1wH1nhmsftl6y8Mp7y6twtoXSi6rxqxzT</x:v>
      </x:c>
      <x:c r="G12" s="22" t="str">
        <x:v>2026-09-01</x:v>
      </x:c>
      <x:c r="H12" s="22" t="str">
        <x:v>HIGH</x:v>
      </x:c>
      <x:c r="I12" s="22" t="str">
        <x:v>TW公式モール寸法：引違いMADO MW=W+16/MH=H+41、引違いTERRACE MW=W+16/MH=H+81、装飾MADO MW=W+16/MH=H+28、装飾TERRACE/採風勝手口/テラスドア MW=W+16/MH=H+68。</x:v>
      </x:c>
    </x:row>
    <x:row r="13">
      <x:c r="A13" s="22" t="str">
        <x:v>CM-EV-011</x:v>
      </x:c>
      <x:c r="B13" s="22" t="str">
        <x:v>LIXIL公式現調</x:v>
      </x:c>
      <x:c r="C13" s="22" t="str">
        <x:v>リプラス 現場調査マニュアル 汎用カットモール</x:v>
      </x:c>
      <x:c r="D13" s="22" t="str">
        <x:v>2026現行</x:v>
      </x:c>
      <x:c r="E13" s="22" t="str">
        <x:v>P273前後</x:v>
      </x:c>
      <x:c r="F13" s="22" t="str">
        <x:v>Drive:1wH1nhmsftl6y8Mp7y6twtoXSi6rxqxzT</x:v>
      </x:c>
      <x:c r="G13" s="22" t="str">
        <x:v>2026-09-01</x:v>
      </x:c>
      <x:c r="H13" s="22" t="str">
        <x:v>HIGH</x:v>
      </x:c>
      <x:c r="I13" s="22" t="str">
        <x:v>木造、a/b/c、壁切断、土間、下地</x:v>
      </x:c>
    </x:row>
    <x:row r="14">
      <x:c r="A14" s="22" t="str">
        <x:v>CM-EV-012</x:v>
      </x:c>
      <x:c r="B14" s="22" t="str">
        <x:v>LIXIL公式現調</x:v>
      </x:c>
      <x:c r="C14" s="22" t="str">
        <x:v>汎用カットモール 新設サッシ対応可否</x:v>
      </x:c>
      <x:c r="D14" s="22" t="str">
        <x:v>2026現行</x:v>
      </x:c>
      <x:c r="E14" s="22" t="str">
        <x:v>P273</x:v>
      </x:c>
      <x:c r="F14" s="22" t="str">
        <x:v>Drive:1wH1nhmsftl6y8Mp7y6twtoXSi6rxqxzT</x:v>
      </x:c>
      <x:c r="G14" s="22" t="str">
        <x:v>2026-09-01</x:v>
      </x:c>
      <x:c r="H14" s="22" t="str">
        <x:v>HIGH</x:v>
      </x:c>
      <x:c r="I14" s="22" t="str">
        <x:v>旧判定の記録。外付不可の一律判定は候補CM-EV-017で再評価。</x:v>
      </x:c>
    </x:row>
    <x:row r="15">
      <x:c r="A15" s="22" t="str">
        <x:v>CM-EV-013</x:v>
      </x:c>
      <x:c r="B15" s="22" t="str">
        <x:v>LIXIL公式現調</x:v>
      </x:c>
      <x:c r="C15" s="22" t="str">
        <x:v>汎用カットモール 寸法変更・干渉条件</x:v>
      </x:c>
      <x:c r="D15" s="22" t="str">
        <x:v>2026現行</x:v>
      </x:c>
      <x:c r="E15" s="22" t="str">
        <x:v>現調注意</x:v>
      </x:c>
      <x:c r="F15" s="22" t="str">
        <x:v>Drive:1D1HPMXhOMYd_Lu10XNzzJR2TH3aDHVUr</x:v>
      </x:c>
      <x:c r="G15" s="22" t="str">
        <x:v>2026-09-01</x:v>
      </x:c>
      <x:c r="H15" s="22" t="str">
        <x:v>HIGH</x:v>
      </x:c>
      <x:c r="I15" s="22" t="str">
        <x:v>同寸基本、大きい=開口拡大、小さい不可、枠付面格子不可</x:v>
      </x:c>
    </x:row>
    <x:row r="16">
      <x:c r="A16" s="22" t="str">
        <x:v>CM-EV-014</x:v>
      </x:c>
      <x:c r="B16" s="22" t="str">
        <x:v>LIXIL公式価格/納まり</x:v>
      </x:c>
      <x:c r="C16" s="22" t="str">
        <x:v>カットモール用窓枠・内装調整アングル</x:v>
      </x:c>
      <x:c r="D16" s="22" t="str">
        <x:v>2026現行</x:v>
      </x:c>
      <x:c r="E16" s="22" t="str">
        <x:v>P273/納まり</x:v>
      </x:c>
      <x:c r="F16" s="22" t="str">
        <x:v>Drive:1wH1nhmsftl6y8Mp7y6twtoXSi6rxqxzT</x:v>
      </x:c>
      <x:c r="G16" s="22" t="str">
        <x:v>2026-09-01</x:v>
      </x:c>
      <x:c r="H16" s="22" t="str">
        <x:v>HIGH</x:v>
      </x:c>
      <x:c r="I16" s="22" t="str">
        <x:v>内装部材組合せ</x:v>
      </x:c>
    </x:row>
    <x:row r="17">
      <x:c r="A17" s="22" t="str">
        <x:v>CM-EV-015</x:v>
      </x:c>
      <x:c r="B17" s="22" t="str">
        <x:v>LIXIL公式カタログ</x:v>
      </x:c>
      <x:c r="C17" s="22" t="str">
        <x:v>リプラス 商品カタログ｜汎用カットモール カラーバリエーション</x:v>
      </x:c>
      <x:c r="D17" s="22" t="str">
        <x:v>2025-08/2026現行</x:v>
      </x:c>
      <x:c r="E17" s="22" t="str">
        <x:v>P47</x:v>
      </x:c>
      <x:c r="F17" s="22" t="str">
        <x:v>Drive:1wH1nhmsftl6y8Mp7y6twtoXSi6rxqxzT</x:v>
      </x:c>
      <x:c r="G17" s="22" t="str">
        <x:v>2026-09-01</x:v>
      </x:c>
      <x:c r="H17" s="22" t="str">
        <x:v>HIGH</x:v>
      </x:c>
      <x:c r="I17" s="22" t="str">
        <x:v>室外カットモール5色、カットモール用窓枠6色、新築用窓枠7色、内装調整アングル9色を公式掲載。</x:v>
      </x:c>
    </x:row>
    <x:row r="18">
      <x:c r="A18" s="22" t="str">
        <x:v>CM-EV-016</x:v>
      </x:c>
      <x:c r="B18" s="22" t="str">
        <x:v>成果物仕様</x:v>
      </x:c>
      <x:c r="C18" s="22" t="str">
        <x:v>成果物パッケージ・保管・完了ゲート仕様書 v2.0</x:v>
      </x:c>
      <x:c r="D18" s="22" t="str">
        <x:v>v2.0</x:v>
      </x:c>
      <x:c r="E18" s="22" t="str">
        <x:v>Authoring+Runtime+Documentation/APG/SG</x:v>
      </x:c>
      <x:c r="F18" s="22" t="str">
        <x:v>Drive:1onE_nzUJhj-w1VnvIS4IGW9YRAanpxm8Jp4WYkFrBFg</x:v>
      </x:c>
      <x:c r="G18" s="22" t="str">
        <x:v>2026-09-01</x:v>
      </x:c>
      <x:c r="H18" s="22" t="str">
        <x:v>HIGH</x:v>
      </x:c>
      <x:c r="I18" s="22" t="str">
        <x:v>Package Gate/Storage Gate</x:v>
      </x:c>
    </x:row>
    <x:row r="19" ht="26.399999618530273" hidden="0" customHeight="1">
      <x:c r="A19" s="22" t="str">
        <x:v>CM-EV-017</x:v>
      </x:c>
      <x:c r="B19" s="22" t="str">
        <x:v>LIXIL公式カタログのローカル取得・視覚確認</x:v>
      </x:c>
      <x:c r="C19" s="22" t="str">
        <x:v>リプラス 商品カタログ SN1200</x:v>
      </x:c>
      <x:c r="D19" s="22" t="str">
        <x:v>全PDFのlive bytes読み戻し未完了</x:v>
      </x:c>
      <x:c r="E19" s="22" t="str">
        <x:v>印刷P273注記1・2、P276交換可否表・取付スペース</x:v>
      </x:c>
      <x:c r="F19" s="22" t="str">
        <x:v>Drive:1wH1nhmsftl6y8Mp7y6twtoXSi6rxqxzT</x:v>
      </x:c>
      <x:c r="G19" s="22" t="str">
        <x:v>2026-10-09</x:v>
      </x:c>
      <x:c r="H19" s="22" t="str">
        <x:v>REVIEW_REQUIRED</x:v>
      </x:c>
      <x:c r="I19" s="22" t="str">
        <x:v>外付型一致、鏡板付戸袋、戸袋側W+c。正式採用は未実施。</x:v>
      </x:c>
    </x:row>
  </x:sheetData>
  <x:mergeCells>
    <x:mergeCell ref="A1:I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54" hidden="0" customWidth="1"/>
    <x:col min="5" max="5" width="28" hidden="0" customWidth="1"/>
    <x:col min="6" max="6" width="24" hidden="0" customWidth="1"/>
  </x:cols>
  <x:sheetData>
    <x:row r="1">
      <x:c r="A1" s="28" t="str">
        <x:v>99_QA｜RPL_CUT_MALL Authoring Gate</x:v>
      </x:c>
      <x:c r="B1" s="28"/>
      <x:c r="C1" s="28"/>
      <x:c r="D1" s="28"/>
      <x:c r="E1" s="28"/>
      <x:c r="F1" s="28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1" t="str">
        <x:v>qa_id</x:v>
      </x:c>
      <x:c r="B2" s="31" t="str">
        <x:v>item</x:v>
      </x:c>
      <x:c r="C2" s="31" t="str">
        <x:v>status</x:v>
      </x:c>
      <x:c r="D2" s="31" t="str">
        <x:v>result</x:v>
      </x:c>
      <x:c r="E2" s="31" t="str">
        <x:v>note</x:v>
      </x:c>
      <x:c r="F2" s="31" t="str">
        <x:v>evidence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2" t="str">
        <x:v>CM-QA-01</x:v>
      </x:c>
      <x:c r="B3" s="32" t="str">
        <x:v>installation_system</x:v>
      </x:c>
      <x:c r="C3" s="32" t="str">
        <x:v>COMPLETE</x:v>
      </x:c>
      <x:c r="D3" s="32" t="str">
        <x:v>RPL_CUT_MALL</x:v>
      </x:c>
      <x:c r="E3" s="32" t="str"/>
      <x:c r="F3" s="32" t="str">
        <x:v>CM-EV-002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2" t="str">
        <x:v>CM-QA-02</x:v>
      </x:c>
      <x:c r="B4" s="32" t="str">
        <x:v>商品役割</x:v>
      </x:c>
      <x:c r="C4" s="32" t="str">
        <x:v>COMPLETE</x:v>
      </x:c>
      <x:c r="D4" s="32" t="str">
        <x:v>壁切断＋既設枠撤去＋新設＋モール</x:v>
      </x:c>
      <x:c r="E4" s="32" t="str"/>
      <x:c r="F4" s="32" t="str">
        <x:v>CM-EV-002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CM-QA-03</x:v>
      </x:c>
      <x:c r="B5" s="32" t="str">
        <x:v>参照4シリーズ</x:v>
      </x:c>
      <x:c r="C5" s="32" t="str">
        <x:v>COMPLETE</x:v>
      </x:c>
      <x:c r="D5" s="32" t="str">
        <x:v>TW/S2H/SL/SA</x:v>
      </x:c>
      <x:c r="E5" s="32" t="str"/>
      <x:c r="F5" s="32" t="str">
        <x:v>CM-EV-002～006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CM-QA-04</x:v>
      </x:c>
      <x:c r="B6" s="32" t="str">
        <x:v>対応窓種</x:v>
      </x:c>
      <x:c r="C6" s="32" t="str">
        <x:v>COMPLETE</x:v>
      </x:c>
      <x:c r="D6" s="32" t="str">
        <x:v>公式対応×正本activeのみ</x:v>
      </x:c>
      <x:c r="E6" s="32" t="str"/>
      <x:c r="F6" s="32" t="str">
        <x:v>03_対応窓種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32" t="str">
        <x:v>CM-QA-05</x:v>
      </x:c>
      <x:c r="B7" s="32" t="str">
        <x:v>寸法式</x:v>
      </x:c>
      <x:c r="C7" s="32" t="str">
        <x:v>COMPLETE</x:v>
      </x:c>
      <x:c r="D7" s="32" t="str">
        <x:v>サーモス系・TW公式式を自動化</x:v>
      </x:c>
      <x:c r="E7" s="32" t="str"/>
      <x:c r="F7" s="32" t="str">
        <x:v>05B_カットモール寸法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32" t="str">
        <x:v>CM-QA-06</x:v>
      </x:c>
      <x:c r="B8" s="32" t="str">
        <x:v>建物構造</x:v>
      </x:c>
      <x:c r="C8" s="32" t="str">
        <x:v>COMPLETE</x:v>
      </x:c>
      <x:c r="D8" s="32" t="str">
        <x:v>木造のみ</x:v>
      </x:c>
      <x:c r="E8" s="32" t="str"/>
      <x:c r="F8" s="32" t="str">
        <x:v>CM-EV-011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32" t="str">
        <x:v>CM-QA-07</x:v>
      </x:c>
      <x:c r="B9" s="32" t="str">
        <x:v>施工スペース</x:v>
      </x:c>
      <x:c r="C9" s="32" t="str">
        <x:v>COMPLETE</x:v>
      </x:c>
      <x:c r="D9" s="32" t="str">
        <x:v>125/125/110</x:v>
      </x:c>
      <x:c r="E9" s="32" t="str"/>
      <x:c r="F9" s="32" t="str">
        <x:v>CM-EV-011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32" t="str">
        <x:v>CM-QA-08</x:v>
      </x:c>
      <x:c r="B10" s="32" t="str">
        <x:v>壁切断/土間</x:v>
      </x:c>
      <x:c r="C10" s="32" t="str">
        <x:v>COMPLETE</x:v>
      </x:c>
      <x:c r="D10" s="32" t="str">
        <x:v>75未満/土間不可</x:v>
      </x:c>
      <x:c r="E10" s="32" t="str"/>
      <x:c r="F10" s="32" t="str">
        <x:v>CM-EV-011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2" t="str">
        <x:v>CM-QA-09</x:v>
      </x:c>
      <x:c r="B11" s="32" t="str">
        <x:v>施工部材</x:v>
      </x:c>
      <x:c r="C11" s="32" t="str">
        <x:v>COMPLETE</x:v>
      </x:c>
      <x:c r="D11" s="32" t="str">
        <x:v>テープ/止水/内装部材</x:v>
      </x:c>
      <x:c r="E11" s="32" t="str"/>
      <x:c r="F11" s="32" t="str">
        <x:v>09_施工部材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2" t="str">
        <x:v>CM-QA-10</x:v>
      </x:c>
      <x:c r="B12" s="32" t="str">
        <x:v>本体仕様責任分界</x:v>
      </x:c>
      <x:c r="C12" s="32" t="str">
        <x:v>COMPLETE</x:v>
      </x:c>
      <x:c r="D12" s="32" t="str">
        <x:v>正本SSOT</x:v>
      </x:c>
      <x:c r="E12" s="32" t="str"/>
      <x:c r="F12" s="32" t="str">
        <x:v>CM-EV-003～006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32" t="str">
        <x:v>CM-QA-11</x:v>
      </x:c>
      <x:c r="B13" s="32" t="str">
        <x:v>Golden Test</x:v>
      </x:c>
      <x:c r="C13" s="32" t="str">
        <x:v>COMPLETE</x:v>
      </x:c>
      <x:c r="D13" s="32" t="str">
        <x:v>2 PASS + 1 REJECT/HIDE</x:v>
      </x:c>
      <x:c r="E13" s="32" t="str"/>
      <x:c r="F13" s="32" t="str">
        <x:v>11_見積入力テスト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32" t="str">
        <x:v>CM-QA-12</x:v>
      </x:c>
      <x:c r="B14" s="32" t="str">
        <x:v>特殊性能</x:v>
      </x:c>
      <x:c r="C14" s="32" t="str">
        <x:v>COMPLETE_WITH_EXTERNAL_CHECK</x:v>
      </x:c>
      <x:c r="D14" s="32" t="str">
        <x:v>耐風/ガラス荷重/特殊躯体</x:v>
      </x:c>
      <x:c r="E14" s="32" t="str"/>
      <x:c r="F14" s="32" t="str">
        <x:v>CM-EV-001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2" t="str">
        <x:v>CM-QA-13</x:v>
      </x:c>
      <x:c r="B15" s="32" t="str">
        <x:v>review_gate_pending_count</x:v>
      </x:c>
      <x:c r="C15" s="32" t="str">
        <x:v>COMPLETE</x:v>
      </x:c>
      <x:c r="D15" s="32" t="str">
        <x:v>0</x:v>
      </x:c>
      <x:c r="E15" s="32" t="str"/>
      <x:c r="F15" s="32" t="str">
        <x:v>全シート検索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32" t="str">
        <x:v>CM-QA-14</x:v>
      </x:c>
      <x:c r="B16" s="32" t="str">
        <x:v>verification_pending_count</x:v>
      </x:c>
      <x:c r="C16" s="32" t="str">
        <x:v>COMPLETE</x:v>
      </x:c>
      <x:c r="D16" s="32" t="str">
        <x:v>0</x:v>
      </x:c>
      <x:c r="E16" s="32" t="str"/>
      <x:c r="F16" s="32" t="str">
        <x:v>全シート検索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32" t="str">
        <x:v>CM-QA-15</x:v>
      </x:c>
      <x:c r="B17" s="32" t="str">
        <x:v>数式エラー</x:v>
      </x:c>
      <x:c r="C17" s="32" t="str">
        <x:v>COMPLETE</x:v>
      </x:c>
      <x:c r="D17" s="32" t="str">
        <x:v>0</x:v>
      </x:c>
      <x:c r="E17" s="32" t="str"/>
      <x:c r="F17" s="32" t="str">
        <x:v>全シート検索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32" t="str">
        <x:v>CM-QA-16</x:v>
      </x:c>
      <x:c r="B18" s="32" t="str">
        <x:v>Authoring Content Gate</x:v>
      </x:c>
      <x:c r="C18" s="32" t="str">
        <x:v>HOLD</x:v>
      </x:c>
      <x:c r="D18" s="32" t="str">
        <x:v>Source全Scope照合・新候補QA待ち</x:v>
      </x:c>
      <x:c r="E18" s="32" t="str">
        <x:v>原本QAを新差分へ継承しない</x:v>
      </x:c>
      <x:c r="F18" s="32" t="str">
        <x:v>CM-EV-016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F1"/>
  </x:mergeCells>
  <x:pageMargins left="0.7" right="0.7" top="0.75" bottom="0.75" header="0.3" footer="0.3"/>
</x:worksheet>
</file>